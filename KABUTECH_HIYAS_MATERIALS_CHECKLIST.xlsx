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Materials Checklist" sheetId="1" state="visible" r:id="rId1"/>
    <sheet name="📊 Executive Summary" sheetId="2" state="visible" r:id="rId2"/>
    <sheet name="🛒 Vendor &amp; Shopping Guide" sheetId="3" state="visible" r:id="rId3"/>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8">
    <font>
      <name val="Calibri"/>
      <family val="2"/>
      <color theme="1"/>
      <sz val="11"/>
      <scheme val="minor"/>
    </font>
    <font>
      <name val="Segoe UI"/>
      <b val="1"/>
      <color rgb="00FFFFFF"/>
      <sz val="20"/>
    </font>
    <font>
      <name val="Segoe UI"/>
      <i val="1"/>
      <color rgb="00D2E5DA"/>
      <sz val="11.5"/>
    </font>
    <font>
      <name val="Segoe UI"/>
      <b val="1"/>
      <color rgb="001B3B2B"/>
      <sz val="11"/>
    </font>
    <font>
      <name val="Segoe UI"/>
      <b val="1"/>
      <color rgb="00FFFFFF"/>
      <sz val="11.5"/>
    </font>
    <font>
      <name val="Segoe UI"/>
      <b val="1"/>
      <color rgb="001B3B2B"/>
      <sz val="13"/>
    </font>
    <font>
      <name val="Segoe UI"/>
      <b val="1"/>
      <color rgb="001C2826"/>
      <sz val="11"/>
    </font>
    <font>
      <name val="Segoe UI"/>
      <color rgb="0052605B"/>
      <sz val="10"/>
    </font>
    <font>
      <name val="Segoe UI"/>
      <color rgb="001C2826"/>
      <sz val="11"/>
    </font>
    <font>
      <name val="Segoe UI"/>
      <b val="1"/>
      <color rgb="001B3B2B"/>
      <sz val="12.5"/>
    </font>
    <font>
      <name val="Segoe UI"/>
      <b val="1"/>
      <color rgb="001B3B2B"/>
      <sz val="14"/>
    </font>
    <font>
      <name val="Segoe UI"/>
      <b val="1"/>
      <color rgb="0052605B"/>
      <sz val="11"/>
    </font>
    <font>
      <name val="Segoe UI"/>
      <b val="1"/>
      <color rgb="001B3B2B"/>
      <sz val="22"/>
    </font>
    <font>
      <name val="Segoe UI"/>
      <b val="1"/>
      <color rgb="001E7E34"/>
      <sz val="22"/>
    </font>
    <font>
      <name val="Segoe UI"/>
      <b val="1"/>
      <color rgb="00FFFFFF"/>
      <sz val="13"/>
    </font>
    <font>
      <name val="Segoe UI"/>
      <b val="1"/>
      <color rgb="001B3B2B"/>
      <sz val="12"/>
    </font>
    <font>
      <name val="Segoe UI"/>
      <b val="1"/>
      <color rgb="001B3B2B"/>
      <sz val="10.5"/>
    </font>
    <font>
      <name val="Segoe UI"/>
      <color rgb="001C2826"/>
      <sz val="10.5"/>
    </font>
  </fonts>
  <fills count="11">
    <fill>
      <patternFill/>
    </fill>
    <fill>
      <patternFill patternType="gray125"/>
    </fill>
    <fill>
      <patternFill patternType="solid">
        <fgColor rgb="001B3B2B"/>
        <bgColor rgb="001B3B2B"/>
      </patternFill>
    </fill>
    <fill>
      <patternFill patternType="solid">
        <fgColor rgb="00E2F0D9"/>
        <bgColor rgb="00E2F0D9"/>
      </patternFill>
    </fill>
    <fill>
      <patternFill patternType="solid">
        <fgColor rgb="002E5A44"/>
        <bgColor rgb="002E5A44"/>
      </patternFill>
    </fill>
    <fill>
      <patternFill patternType="solid">
        <fgColor rgb="00E8F4EC"/>
        <bgColor rgb="00E8F4EC"/>
      </patternFill>
    </fill>
    <fill>
      <patternFill patternType="solid">
        <fgColor rgb="00F7F9F8"/>
        <bgColor rgb="00F7F9F8"/>
      </patternFill>
    </fill>
    <fill>
      <patternFill patternType="solid">
        <fgColor rgb="00DCEFE3"/>
        <bgColor rgb="00DCEFE3"/>
      </patternFill>
    </fill>
    <fill>
      <patternFill patternType="solid">
        <fgColor rgb="00C2E2CE"/>
        <bgColor rgb="00C2E2CE"/>
      </patternFill>
    </fill>
    <fill>
      <patternFill patternType="solid">
        <fgColor rgb="00F2F8F4"/>
        <bgColor rgb="00F2F8F4"/>
      </patternFill>
    </fill>
    <fill>
      <patternFill patternType="solid">
        <fgColor rgb="00EAF5EC"/>
        <bgColor rgb="00EAF5EC"/>
      </patternFill>
    </fill>
  </fills>
  <borders count="3">
    <border>
      <left/>
      <right/>
      <top/>
      <bottom/>
      <diagonal/>
    </border>
    <border>
      <left style="thin">
        <color rgb="00D0D9D4"/>
      </left>
      <right style="thin">
        <color rgb="00D0D9D4"/>
      </right>
      <top style="thin">
        <color rgb="00D0D9D4"/>
      </top>
      <bottom style="thin">
        <color rgb="00D0D9D4"/>
      </bottom>
    </border>
    <border>
      <left style="thin">
        <color rgb="00D0D9D4"/>
      </left>
      <right style="thin">
        <color rgb="00D0D9D4"/>
      </right>
      <top style="medium">
        <color rgb="001B3B2B"/>
      </top>
      <bottom style="double">
        <color rgb="001B3B2B"/>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right" vertical="center"/>
    </xf>
    <xf numFmtId="0" fontId="5" fillId="5" borderId="1" applyAlignment="1" pivotButton="0" quotePrefix="0" xfId="0">
      <alignment horizontal="left" vertical="center" indent="1"/>
    </xf>
    <xf numFmtId="0" fontId="0" fillId="5" borderId="1" pivotButton="0" quotePrefix="0" xfId="0"/>
    <xf numFmtId="0" fontId="6" fillId="0" borderId="1" applyAlignment="1" pivotButton="0" quotePrefix="0" xfId="0">
      <alignment horizontal="center"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xf>
    <xf numFmtId="0" fontId="8" fillId="0" borderId="1" applyAlignment="1" pivotButton="0" quotePrefix="0" xfId="0">
      <alignment horizontal="left" vertical="center" wrapText="1"/>
    </xf>
    <xf numFmtId="3" fontId="6" fillId="0" borderId="1" applyAlignment="1" pivotButton="0" quotePrefix="0" xfId="0">
      <alignment horizontal="center" vertical="center"/>
    </xf>
    <xf numFmtId="0" fontId="7" fillId="0" borderId="1" applyAlignment="1" pivotButton="0" quotePrefix="0" xfId="0">
      <alignment horizontal="center" vertical="center"/>
    </xf>
    <xf numFmtId="164" fontId="8" fillId="0" borderId="1" applyAlignment="1" pivotButton="0" quotePrefix="0" xfId="0">
      <alignment horizontal="right" vertical="center"/>
    </xf>
    <xf numFmtId="164" fontId="6" fillId="0" borderId="1" applyAlignment="1" pivotButton="0" quotePrefix="0" xfId="0">
      <alignment horizontal="right" vertical="center"/>
    </xf>
    <xf numFmtId="0" fontId="7" fillId="0" borderId="1" applyAlignment="1" pivotButton="0" quotePrefix="0" xfId="0">
      <alignment horizontal="left" vertical="center" wrapText="1"/>
    </xf>
    <xf numFmtId="0" fontId="6" fillId="6" borderId="1" applyAlignment="1" pivotButton="0" quotePrefix="0" xfId="0">
      <alignment horizontal="center" vertical="center"/>
    </xf>
    <xf numFmtId="0" fontId="6" fillId="6" borderId="1" applyAlignment="1" pivotButton="0" quotePrefix="0" xfId="0">
      <alignment horizontal="left" vertical="center" wrapText="1"/>
    </xf>
    <xf numFmtId="0" fontId="7" fillId="6" borderId="1" applyAlignment="1" pivotButton="0" quotePrefix="0" xfId="0">
      <alignment horizontal="left" vertical="center"/>
    </xf>
    <xf numFmtId="0" fontId="8" fillId="6" borderId="1" applyAlignment="1" pivotButton="0" quotePrefix="0" xfId="0">
      <alignment horizontal="left" vertical="center" wrapText="1"/>
    </xf>
    <xf numFmtId="3" fontId="6" fillId="6" borderId="1" applyAlignment="1" pivotButton="0" quotePrefix="0" xfId="0">
      <alignment horizontal="center" vertical="center"/>
    </xf>
    <xf numFmtId="0" fontId="7" fillId="6" borderId="1" applyAlignment="1" pivotButton="0" quotePrefix="0" xfId="0">
      <alignment horizontal="center" vertical="center"/>
    </xf>
    <xf numFmtId="164" fontId="8" fillId="6" borderId="1" applyAlignment="1" pivotButton="0" quotePrefix="0" xfId="0">
      <alignment horizontal="right" vertical="center"/>
    </xf>
    <xf numFmtId="164" fontId="6" fillId="6" borderId="1" applyAlignment="1" pivotButton="0" quotePrefix="0" xfId="0">
      <alignment horizontal="right" vertical="center"/>
    </xf>
    <xf numFmtId="0" fontId="7" fillId="6" borderId="1" applyAlignment="1" pivotButton="0" quotePrefix="0" xfId="0">
      <alignment horizontal="left" vertical="center" wrapText="1"/>
    </xf>
    <xf numFmtId="0" fontId="9" fillId="7" borderId="1" applyAlignment="1" pivotButton="0" quotePrefix="0" xfId="0">
      <alignment horizontal="right" vertical="center"/>
    </xf>
    <xf numFmtId="0" fontId="0" fillId="7" borderId="1" pivotButton="0" quotePrefix="0" xfId="0"/>
    <xf numFmtId="164" fontId="9" fillId="7" borderId="1" applyAlignment="1" pivotButton="0" quotePrefix="0" xfId="0">
      <alignment horizontal="right" vertical="center"/>
    </xf>
    <xf numFmtId="0" fontId="10" fillId="8" borderId="2" applyAlignment="1" pivotButton="0" quotePrefix="0" xfId="0">
      <alignment horizontal="right" vertical="center"/>
    </xf>
    <xf numFmtId="0" fontId="0" fillId="8" borderId="2" pivotButton="0" quotePrefix="0" xfId="0"/>
    <xf numFmtId="164" fontId="10" fillId="8" borderId="2" applyAlignment="1" pivotButton="0" quotePrefix="0" xfId="0">
      <alignment horizontal="right" vertical="center"/>
    </xf>
    <xf numFmtId="0" fontId="11" fillId="9" borderId="1" applyAlignment="1" pivotButton="0" quotePrefix="0" xfId="0">
      <alignment horizontal="center" vertical="center"/>
    </xf>
    <xf numFmtId="0" fontId="0" fillId="9" borderId="1" pivotButton="0" quotePrefix="0" xfId="0"/>
    <xf numFmtId="0" fontId="11" fillId="10" borderId="1" applyAlignment="1" pivotButton="0" quotePrefix="0" xfId="0">
      <alignment horizontal="center" vertical="center"/>
    </xf>
    <xf numFmtId="164" fontId="12" fillId="9" borderId="1" applyAlignment="1" pivotButton="0" quotePrefix="0" xfId="0">
      <alignment horizontal="center" vertical="center"/>
    </xf>
    <xf numFmtId="164" fontId="13" fillId="10" borderId="1" applyAlignment="1" pivotButton="0" quotePrefix="0" xfId="0">
      <alignment horizontal="center" vertical="center"/>
    </xf>
    <xf numFmtId="3" fontId="12" fillId="9" borderId="1" applyAlignment="1" pivotButton="0" quotePrefix="0" xfId="0">
      <alignment horizontal="center" vertical="center"/>
    </xf>
    <xf numFmtId="0" fontId="7" fillId="9" borderId="1" applyAlignment="1" pivotButton="0" quotePrefix="0" xfId="0">
      <alignment horizontal="center" vertical="center"/>
    </xf>
    <xf numFmtId="0" fontId="7" fillId="10" borderId="1" applyAlignment="1" pivotButton="0" quotePrefix="0" xfId="0">
      <alignment horizontal="center" vertical="center"/>
    </xf>
    <xf numFmtId="0" fontId="5" fillId="0" borderId="0" applyAlignment="1" pivotButton="0" quotePrefix="0" xfId="0">
      <alignment horizontal="left" vertical="center"/>
    </xf>
    <xf numFmtId="0" fontId="8" fillId="0" borderId="1" applyAlignment="1" pivotButton="0" quotePrefix="0" xfId="0">
      <alignment horizontal="left" vertical="center"/>
    </xf>
    <xf numFmtId="165" fontId="8" fillId="0" borderId="1" applyAlignment="1" pivotButton="0" quotePrefix="0" xfId="0">
      <alignment horizontal="right" vertical="center"/>
    </xf>
    <xf numFmtId="0" fontId="8" fillId="6" borderId="1" applyAlignment="1" pivotButton="0" quotePrefix="0" xfId="0">
      <alignment horizontal="left" vertical="center"/>
    </xf>
    <xf numFmtId="165" fontId="8" fillId="6" borderId="1" applyAlignment="1" pivotButton="0" quotePrefix="0" xfId="0">
      <alignment horizontal="right" vertical="center"/>
    </xf>
    <xf numFmtId="0" fontId="9" fillId="8" borderId="2" applyAlignment="1" pivotButton="0" quotePrefix="0" xfId="0">
      <alignment horizontal="center" vertical="center"/>
    </xf>
    <xf numFmtId="0" fontId="9" fillId="8" borderId="2" pivotButton="0" quotePrefix="0" xfId="0"/>
    <xf numFmtId="164" fontId="9" fillId="8" borderId="2" applyAlignment="1" pivotButton="0" quotePrefix="0" xfId="0">
      <alignment horizontal="right" vertical="center"/>
    </xf>
    <xf numFmtId="165" fontId="9" fillId="8" borderId="2" applyAlignment="1" pivotButton="0" quotePrefix="0" xfId="0">
      <alignment horizontal="right" vertical="center"/>
    </xf>
    <xf numFmtId="0" fontId="15" fillId="0" borderId="0" pivotButton="0" quotePrefix="0" xfId="0"/>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4" fillId="4" borderId="0" applyAlignment="1" pivotButton="0" quotePrefix="0" xfId="0">
      <alignment horizontal="left" vertical="center" indent="1"/>
    </xf>
    <xf numFmtId="0" fontId="3" fillId="5" borderId="1" applyAlignment="1" pivotButton="0" quotePrefix="0" xfId="0">
      <alignment horizontal="left" vertical="center"/>
    </xf>
    <xf numFmtId="0" fontId="6" fillId="0" borderId="1" applyAlignment="1" pivotButton="0" quotePrefix="0" xfId="0">
      <alignment horizontal="left"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44" customWidth="1" min="3" max="3"/>
    <col width="26" customWidth="1" min="4" max="4"/>
    <col width="58" customWidth="1" min="5" max="5"/>
    <col width="9" customWidth="1" min="6" max="6"/>
    <col width="12" customWidth="1" min="7" max="7"/>
    <col width="17" customWidth="1" min="8" max="8"/>
    <col width="17" customWidth="1" min="9" max="9"/>
    <col width="18" customWidth="1" min="10" max="10"/>
    <col width="18" customWidth="1" min="11" max="11"/>
    <col width="20" customWidth="1" min="12" max="12"/>
    <col width="34" customWidth="1" min="13" max="13"/>
    <col width="40" customWidth="1" min="14" max="14"/>
    <col width="50" customWidth="1" min="15" max="15"/>
  </cols>
  <sheetData>
    <row r="1" ht="48" customHeight="1">
      <c r="A1" s="1" t="inlineStr">
        <is>
          <t>🍄 KABUTECH HIYAS — COMPLETE MATERIALS &amp; PROCUREMENT CHECKLIST</t>
        </is>
      </c>
    </row>
    <row r="2" ht="28" customHeight="1">
      <c r="A2" s="2" t="inlineStr">
        <is>
          <t>Precision Mushroom Grow House Automation | Target Budget: ₱15,000 PHP | 68 Components | High-Quality Digital Sensors</t>
        </is>
      </c>
    </row>
    <row r="3" ht="32" customHeight="1">
      <c r="A3" s="3" t="inlineStr">
        <is>
          <t>💡 INSTRUCTIONS: Update 'Status' dropdown (To Buy / Ordered / Received / In Stock) as you purchase items. Enter your 'Actual Spent (₱)' to track budget in real-time.</t>
        </is>
      </c>
    </row>
    <row r="4" ht="36" customHeight="1">
      <c r="A4" s="4" t="inlineStr">
        <is>
          <t>Status</t>
        </is>
      </c>
      <c r="B4" s="4" t="inlineStr">
        <is>
          <t>Code</t>
        </is>
      </c>
      <c r="C4" s="5" t="inlineStr">
        <is>
          <t>Component Name</t>
        </is>
      </c>
      <c r="D4" s="5" t="inlineStr">
        <is>
          <t>Category</t>
        </is>
      </c>
      <c r="E4" s="5" t="inlineStr">
        <is>
          <t>Technical Specifications &amp; Rationale</t>
        </is>
      </c>
      <c r="F4" s="4" t="inlineStr">
        <is>
          <t>Qty</t>
        </is>
      </c>
      <c r="G4" s="4" t="inlineStr">
        <is>
          <t>Unit</t>
        </is>
      </c>
      <c r="H4" s="6" t="inlineStr">
        <is>
          <t>Min Est (₱)</t>
        </is>
      </c>
      <c r="I4" s="6" t="inlineStr">
        <is>
          <t>Max Est (₱)</t>
        </is>
      </c>
      <c r="J4" s="6" t="inlineStr">
        <is>
          <t>Min Total (₱)</t>
        </is>
      </c>
      <c r="K4" s="6" t="inlineStr">
        <is>
          <t>Max Total (₱)</t>
        </is>
      </c>
      <c r="L4" s="6" t="inlineStr">
        <is>
          <t>Actual Spent (₱)</t>
        </is>
      </c>
      <c r="M4" s="5" t="inlineStr">
        <is>
          <t>Recommended Vendor / Store</t>
        </is>
      </c>
      <c r="N4" s="5" t="inlineStr">
        <is>
          <t>Search Keywords / Model</t>
        </is>
      </c>
      <c r="O4" s="5" t="inlineStr">
        <is>
          <t>Procurement &amp; Assembly Notes</t>
        </is>
      </c>
    </row>
    <row r="5" ht="34" customHeight="1">
      <c r="A5" s="7" t="inlineStr">
        <is>
          <t>🔬 CATEGORY A: SENSORS &amp; PROBE ELECTRONICS (QUALITY-GRADE)</t>
        </is>
      </c>
      <c r="B5" s="8" t="n"/>
      <c r="C5" s="8" t="n"/>
      <c r="D5" s="8" t="n"/>
      <c r="E5" s="8" t="n"/>
      <c r="F5" s="8" t="n"/>
      <c r="G5" s="8" t="n"/>
      <c r="H5" s="8" t="n"/>
      <c r="I5" s="8" t="n"/>
      <c r="J5" s="8" t="n"/>
      <c r="K5" s="8" t="n"/>
      <c r="L5" s="8" t="n"/>
      <c r="M5" s="8" t="n"/>
      <c r="N5" s="8" t="n"/>
      <c r="O5" s="8" t="n"/>
    </row>
    <row r="6" ht="44" customHeight="1">
      <c r="A6" s="9" t="inlineStr">
        <is>
          <t>To Buy</t>
        </is>
      </c>
      <c r="B6" s="9" t="inlineStr">
        <is>
          <t>A1</t>
        </is>
      </c>
      <c r="C6" s="10" t="inlineStr">
        <is>
          <t>SHT31-D Temperature &amp; Humidity Module</t>
        </is>
      </c>
      <c r="D6" s="11" t="inlineStr">
        <is>
          <t>Sensors &amp; Probe Electronics</t>
        </is>
      </c>
      <c r="E6" s="12" t="inlineStr">
        <is>
          <t>±2% RH, ±0.3°C accuracy. Digital I2C bus. Factory calibrated. Superior to DHT11.</t>
        </is>
      </c>
      <c r="F6" s="13" t="n">
        <v>1</v>
      </c>
      <c r="G6" s="14" t="inlineStr">
        <is>
          <t>pc</t>
        </is>
      </c>
      <c r="H6" s="15" t="n">
        <v>120</v>
      </c>
      <c r="I6" s="15" t="n">
        <v>180</v>
      </c>
      <c r="J6" s="16">
        <f>F6*H6</f>
        <v/>
      </c>
      <c r="K6" s="16">
        <f>F6*I6</f>
        <v/>
      </c>
      <c r="L6" s="16" t="n"/>
      <c r="M6" s="12" t="inlineStr">
        <is>
          <t>Shopee / Lazada / Makerlab PH</t>
        </is>
      </c>
      <c r="N6" s="17" t="inlineStr">
        <is>
          <t>SHT31-D sensor module I2C</t>
        </is>
      </c>
      <c r="O6" s="12" t="inlineStr">
        <is>
          <t>Essential for high-humidity mushroom chamber.</t>
        </is>
      </c>
    </row>
    <row r="7" ht="44" customHeight="1">
      <c r="A7" s="18" t="inlineStr">
        <is>
          <t>To Buy</t>
        </is>
      </c>
      <c r="B7" s="18" t="inlineStr">
        <is>
          <t>A2</t>
        </is>
      </c>
      <c r="C7" s="19" t="inlineStr">
        <is>
          <t>BH1750 Digital Light Sensor (GY-302)</t>
        </is>
      </c>
      <c r="D7" s="20" t="inlineStr">
        <is>
          <t>Sensors &amp; Probe Electronics</t>
        </is>
      </c>
      <c r="E7" s="21" t="inlineStr">
        <is>
          <t>1–65535 lux, 16-bit resolution, direct lux output, I2C. Replaces unreliable LDR.</t>
        </is>
      </c>
      <c r="F7" s="22" t="n">
        <v>1</v>
      </c>
      <c r="G7" s="23" t="inlineStr">
        <is>
          <t>pc</t>
        </is>
      </c>
      <c r="H7" s="24" t="n">
        <v>80</v>
      </c>
      <c r="I7" s="24" t="n">
        <v>150</v>
      </c>
      <c r="J7" s="25">
        <f>F7*H7</f>
        <v/>
      </c>
      <c r="K7" s="25">
        <f>F7*I7</f>
        <v/>
      </c>
      <c r="L7" s="25" t="n"/>
      <c r="M7" s="21" t="inlineStr">
        <is>
          <t>Shopee / Lazada / Circuit Rocks</t>
        </is>
      </c>
      <c r="N7" s="26" t="inlineStr">
        <is>
          <t>BH1750 GY-302 light sensor module</t>
        </is>
      </c>
      <c r="O7" s="21" t="inlineStr">
        <is>
          <t>Mount facing grow bags to track pinhead lighting.</t>
        </is>
      </c>
    </row>
    <row r="8" ht="44" customHeight="1">
      <c r="A8" s="9" t="inlineStr">
        <is>
          <t>To Buy</t>
        </is>
      </c>
      <c r="B8" s="9" t="inlineStr">
        <is>
          <t>A3</t>
        </is>
      </c>
      <c r="C8" s="10" t="inlineStr">
        <is>
          <t>SCD41 True NDIR CO₂ Sensor Module</t>
        </is>
      </c>
      <c r="D8" s="11" t="inlineStr">
        <is>
          <t>Sensors &amp; Probe Electronics</t>
        </is>
      </c>
      <c r="E8" s="12" t="inlineStr">
        <is>
          <t>Photoacoustic NDIR, 400–5000 ppm, ±(40 ppm + 5%), I2C. True CO₂ measurement.</t>
        </is>
      </c>
      <c r="F8" s="13" t="n">
        <v>1</v>
      </c>
      <c r="G8" s="14" t="inlineStr">
        <is>
          <t>pc</t>
        </is>
      </c>
      <c r="H8" s="15" t="n">
        <v>1800</v>
      </c>
      <c r="I8" s="15" t="n">
        <v>2500</v>
      </c>
      <c r="J8" s="16">
        <f>F8*H8</f>
        <v/>
      </c>
      <c r="K8" s="16">
        <f>F8*I8</f>
        <v/>
      </c>
      <c r="L8" s="16" t="n"/>
      <c r="M8" s="12" t="inlineStr">
        <is>
          <t>Shopee PH / AliExpress</t>
        </is>
      </c>
      <c r="N8" s="17" t="inlineStr">
        <is>
          <t>Sensirion SCD41 CO2 sensor module</t>
        </is>
      </c>
      <c r="O8" s="12" t="inlineStr">
        <is>
          <t>Most critical sensor for thesis credibility. Not MQ-135.</t>
        </is>
      </c>
    </row>
    <row r="9" ht="44" customHeight="1">
      <c r="A9" s="18" t="inlineStr">
        <is>
          <t>To Buy</t>
        </is>
      </c>
      <c r="B9" s="18" t="inlineStr">
        <is>
          <t>A4</t>
        </is>
      </c>
      <c r="C9" s="19" t="inlineStr">
        <is>
          <t>Capacitive Water Level Sensor (XKC-Y25-T12V)</t>
        </is>
      </c>
      <c r="D9" s="20" t="inlineStr">
        <is>
          <t>Sensors &amp; Probe Electronics</t>
        </is>
      </c>
      <c r="E9" s="21" t="inlineStr">
        <is>
          <t>Non-contact liquid level, penetrates 20mm plastic wall, 5-24V DC, digital out.</t>
        </is>
      </c>
      <c r="F9" s="22" t="n">
        <v>1</v>
      </c>
      <c r="G9" s="23" t="inlineStr">
        <is>
          <t>pc</t>
        </is>
      </c>
      <c r="H9" s="24" t="n">
        <v>250</v>
      </c>
      <c r="I9" s="24" t="n">
        <v>400</v>
      </c>
      <c r="J9" s="25">
        <f>F9*H9</f>
        <v/>
      </c>
      <c r="K9" s="25">
        <f>F9*I9</f>
        <v/>
      </c>
      <c r="L9" s="25" t="n"/>
      <c r="M9" s="21" t="inlineStr">
        <is>
          <t>Shopee / Lazada / Makerlab PH</t>
        </is>
      </c>
      <c r="N9" s="26" t="inlineStr">
        <is>
          <t>XKC-Y25-T12V non contact water level</t>
        </is>
      </c>
      <c r="O9" s="21" t="inlineStr">
        <is>
          <t>Outside reservoir mounting. No corrosion or electrolysis.</t>
        </is>
      </c>
    </row>
    <row r="10" ht="44" customHeight="1">
      <c r="A10" s="9" t="inlineStr">
        <is>
          <t>To Buy</t>
        </is>
      </c>
      <c r="B10" s="9" t="inlineStr">
        <is>
          <t>A5</t>
        </is>
      </c>
      <c r="C10" s="10" t="inlineStr">
        <is>
          <t>YF-S201 Water Flow Sensor (Hall Effect)</t>
        </is>
      </c>
      <c r="D10" s="11" t="inlineStr">
        <is>
          <t>Sensors &amp; Probe Electronics</t>
        </is>
      </c>
      <c r="E10" s="12" t="inlineStr">
        <is>
          <t>1–30 L/min range, working pressure &lt;1.75MPa, pulse output, food-grade nylon.</t>
        </is>
      </c>
      <c r="F10" s="13" t="n">
        <v>1</v>
      </c>
      <c r="G10" s="14" t="inlineStr">
        <is>
          <t>pc</t>
        </is>
      </c>
      <c r="H10" s="15" t="n">
        <v>150</v>
      </c>
      <c r="I10" s="15" t="n">
        <v>220</v>
      </c>
      <c r="J10" s="16">
        <f>F10*H10</f>
        <v/>
      </c>
      <c r="K10" s="16">
        <f>F10*I10</f>
        <v/>
      </c>
      <c r="L10" s="16" t="n"/>
      <c r="M10" s="12" t="inlineStr">
        <is>
          <t>Shopee / Lazada</t>
        </is>
      </c>
      <c r="N10" s="17" t="inlineStr">
        <is>
          <t>YF-S201 water flow sensor 1/2 inch</t>
        </is>
      </c>
      <c r="O10" s="12" t="inlineStr">
        <is>
          <t>Monitors mist delivery &amp; alerts if reservoir runs dry.</t>
        </is>
      </c>
    </row>
    <row r="11" ht="44" customHeight="1">
      <c r="A11" s="18" t="inlineStr">
        <is>
          <t>To Buy</t>
        </is>
      </c>
      <c r="B11" s="18" t="inlineStr">
        <is>
          <t>A6</t>
        </is>
      </c>
      <c r="C11" s="19" t="inlineStr">
        <is>
          <t>0.96" SSD1306 OLED Display (I2C)</t>
        </is>
      </c>
      <c r="D11" s="20" t="inlineStr">
        <is>
          <t>Sensors &amp; Probe Electronics</t>
        </is>
      </c>
      <c r="E11" s="21" t="inlineStr">
        <is>
          <t>128×64 resolution, monochrome white/blue, I2C address 0x3C, 3.3V/5V compatible.</t>
        </is>
      </c>
      <c r="F11" s="22" t="n">
        <v>1</v>
      </c>
      <c r="G11" s="23" t="inlineStr">
        <is>
          <t>pc</t>
        </is>
      </c>
      <c r="H11" s="24" t="n">
        <v>100</v>
      </c>
      <c r="I11" s="24" t="n">
        <v>150</v>
      </c>
      <c r="J11" s="25">
        <f>F11*H11</f>
        <v/>
      </c>
      <c r="K11" s="25">
        <f>F11*I11</f>
        <v/>
      </c>
      <c r="L11" s="25" t="n"/>
      <c r="M11" s="21" t="inlineStr">
        <is>
          <t>Shopee / Lazada / Makerlab PH</t>
        </is>
      </c>
      <c r="N11" s="26" t="inlineStr">
        <is>
          <t>0.96 inch I2C OLED display SSD1306</t>
        </is>
      </c>
      <c r="O11" s="21" t="inlineStr">
        <is>
          <t>Cabinet face display for live readings and IP/WiFi.</t>
        </is>
      </c>
    </row>
    <row r="12" ht="44" customHeight="1">
      <c r="A12" s="9" t="inlineStr">
        <is>
          <t>To Buy</t>
        </is>
      </c>
      <c r="B12" s="9" t="inlineStr">
        <is>
          <t>A7</t>
        </is>
      </c>
      <c r="C12" s="10" t="inlineStr">
        <is>
          <t>Perfboard / Prototype PCB (5×7cm)</t>
        </is>
      </c>
      <c r="D12" s="11" t="inlineStr">
        <is>
          <t>Sensors &amp; Probe Electronics</t>
        </is>
      </c>
      <c r="E12" s="12" t="inlineStr">
        <is>
          <t>FR-4 double-sided prototype board with plated through-holes, 2.54mm pitch.</t>
        </is>
      </c>
      <c r="F12" s="13" t="n">
        <v>2</v>
      </c>
      <c r="G12" s="14" t="inlineStr">
        <is>
          <t>pcs</t>
        </is>
      </c>
      <c r="H12" s="15" t="n">
        <v>25</v>
      </c>
      <c r="I12" s="15" t="n">
        <v>50</v>
      </c>
      <c r="J12" s="16">
        <f>F12*H12</f>
        <v/>
      </c>
      <c r="K12" s="16">
        <f>F12*I12</f>
        <v/>
      </c>
      <c r="L12" s="16" t="n"/>
      <c r="M12" s="12" t="inlineStr">
        <is>
          <t>Shopee / Electronics Store</t>
        </is>
      </c>
      <c r="N12" s="17" t="inlineStr">
        <is>
          <t>5x7cm double sided prototype PCB FR4</t>
        </is>
      </c>
      <c r="O12" s="12" t="inlineStr">
        <is>
          <t>For mounting SHT31 + BH1750 + SCD41 inside probe.</t>
        </is>
      </c>
    </row>
    <row r="13" ht="34" customHeight="1">
      <c r="A13" s="27" t="inlineStr">
        <is>
          <t>Subtotal — Category A (Sensors &amp; Probe Electronics):</t>
        </is>
      </c>
      <c r="B13" s="28" t="n"/>
      <c r="C13" s="28" t="n"/>
      <c r="D13" s="28" t="n"/>
      <c r="E13" s="28" t="n"/>
      <c r="F13" s="28" t="n"/>
      <c r="G13" s="28" t="n"/>
      <c r="H13" s="28" t="n"/>
      <c r="I13" s="28" t="n"/>
      <c r="J13" s="29">
        <f>SUM(J6:J12)</f>
        <v/>
      </c>
      <c r="K13" s="29">
        <f>SUM(K6:K12)</f>
        <v/>
      </c>
      <c r="L13" s="29">
        <f>SUM(L6:L12)</f>
        <v/>
      </c>
      <c r="M13" s="28" t="n"/>
      <c r="N13" s="28" t="n"/>
      <c r="O13" s="28" t="n"/>
    </row>
    <row r="14" ht="34" customHeight="1">
      <c r="A14" s="7" t="inlineStr">
        <is>
          <t>🏠 CATEGORY B: HANGING SENSOR PROBE HOUSING (PVC BELL REDUCER DESIGN)</t>
        </is>
      </c>
      <c r="B14" s="8" t="n"/>
      <c r="C14" s="8" t="n"/>
      <c r="D14" s="8" t="n"/>
      <c r="E14" s="8" t="n"/>
      <c r="F14" s="8" t="n"/>
      <c r="G14" s="8" t="n"/>
      <c r="H14" s="8" t="n"/>
      <c r="I14" s="8" t="n"/>
      <c r="J14" s="8" t="n"/>
      <c r="K14" s="8" t="n"/>
      <c r="L14" s="8" t="n"/>
      <c r="M14" s="8" t="n"/>
      <c r="N14" s="8" t="n"/>
      <c r="O14" s="8" t="n"/>
    </row>
    <row r="15" ht="44" customHeight="1">
      <c r="A15" s="9" t="inlineStr">
        <is>
          <t>To Buy</t>
        </is>
      </c>
      <c r="B15" s="9" t="inlineStr">
        <is>
          <t>B1</t>
        </is>
      </c>
      <c r="C15" s="10" t="inlineStr">
        <is>
          <t>2" to 1" PVC Bell Reducer (White/Gray)</t>
        </is>
      </c>
      <c r="D15" s="11" t="inlineStr">
        <is>
          <t>Hanging Sensor Probe Housing</t>
        </is>
      </c>
      <c r="E15" s="12" t="inlineStr">
        <is>
          <t>Schedule 40 PVC fitting. 2" bell opening down to 1" neck. Lightweight housing.</t>
        </is>
      </c>
      <c r="F15" s="13" t="n">
        <v>1</v>
      </c>
      <c r="G15" s="14" t="inlineStr">
        <is>
          <t>pc</t>
        </is>
      </c>
      <c r="H15" s="15" t="n">
        <v>25</v>
      </c>
      <c r="I15" s="15" t="n">
        <v>45</v>
      </c>
      <c r="J15" s="16">
        <f>F15*H15</f>
        <v/>
      </c>
      <c r="K15" s="16">
        <f>F15*I15</f>
        <v/>
      </c>
      <c r="L15" s="16" t="n"/>
      <c r="M15" s="12" t="inlineStr">
        <is>
          <t>Local Hardware (Citi / Wilcon / Ace)</t>
        </is>
      </c>
      <c r="N15" s="17" t="inlineStr">
        <is>
          <t>2 x 1 PVC bell reducer fitting</t>
        </is>
      </c>
      <c r="O15" s="12" t="inlineStr">
        <is>
          <t>Forms inverted bell chamber shielding sensors from mist.</t>
        </is>
      </c>
    </row>
    <row r="16" ht="44" customHeight="1">
      <c r="A16" s="18" t="inlineStr">
        <is>
          <t>To Buy</t>
        </is>
      </c>
      <c r="B16" s="18" t="inlineStr">
        <is>
          <t>B2</t>
        </is>
      </c>
      <c r="C16" s="19" t="inlineStr">
        <is>
          <t>M16 or M20 IP68 Waterproof Cable Gland</t>
        </is>
      </c>
      <c r="D16" s="20" t="inlineStr">
        <is>
          <t>Hanging Sensor Probe Housing</t>
        </is>
      </c>
      <c r="E16" s="21" t="inlineStr">
        <is>
          <t>Nylon PA66 body, rubber clamping ring, IP68 rated, fits cables 4-8mm / 6-12mm.</t>
        </is>
      </c>
      <c r="F16" s="22" t="n">
        <v>1</v>
      </c>
      <c r="G16" s="23" t="inlineStr">
        <is>
          <t>pc</t>
        </is>
      </c>
      <c r="H16" s="24" t="n">
        <v>30</v>
      </c>
      <c r="I16" s="24" t="n">
        <v>60</v>
      </c>
      <c r="J16" s="25">
        <f>F16*H16</f>
        <v/>
      </c>
      <c r="K16" s="25">
        <f>F16*I16</f>
        <v/>
      </c>
      <c r="L16" s="25" t="n"/>
      <c r="M16" s="21" t="inlineStr">
        <is>
          <t>Shopee / Lazada / Hardware</t>
        </is>
      </c>
      <c r="N16" s="26" t="inlineStr">
        <is>
          <t>M16 or M20 cable gland IP68 waterproof</t>
        </is>
      </c>
      <c r="O16" s="21" t="inlineStr">
        <is>
          <t>Screws into top neck; clamps cable and hangs probe.</t>
        </is>
      </c>
    </row>
    <row r="17" ht="44" customHeight="1">
      <c r="A17" s="9" t="inlineStr">
        <is>
          <t>To Buy</t>
        </is>
      </c>
      <c r="B17" s="9" t="inlineStr">
        <is>
          <t>B3</t>
        </is>
      </c>
      <c r="C17" s="10" t="inlineStr">
        <is>
          <t>PG7 Cable Gland (Nylon, IP68)</t>
        </is>
      </c>
      <c r="D17" s="11" t="inlineStr">
        <is>
          <t>Hanging Sensor Probe Housing</t>
        </is>
      </c>
      <c r="E17" s="12" t="inlineStr">
        <is>
          <t>Mini cable gland for 3-6.5mm cables, weatherproof sealing.</t>
        </is>
      </c>
      <c r="F17" s="13" t="n">
        <v>2</v>
      </c>
      <c r="G17" s="14" t="inlineStr">
        <is>
          <t>pcs</t>
        </is>
      </c>
      <c r="H17" s="15" t="n">
        <v>15</v>
      </c>
      <c r="I17" s="15" t="n">
        <v>25</v>
      </c>
      <c r="J17" s="16">
        <f>F17*H17</f>
        <v/>
      </c>
      <c r="K17" s="16">
        <f>F17*I17</f>
        <v/>
      </c>
      <c r="L17" s="16" t="n"/>
      <c r="M17" s="12" t="inlineStr">
        <is>
          <t>Shopee / Hardware Store</t>
        </is>
      </c>
      <c r="N17" s="17" t="inlineStr">
        <is>
          <t>PG7 cable gland nylon IP68</t>
        </is>
      </c>
      <c r="O17" s="12" t="inlineStr">
        <is>
          <t>Internal cable strain relief and wire pass-throughs.</t>
        </is>
      </c>
    </row>
    <row r="18" ht="44" customHeight="1">
      <c r="A18" s="18" t="inlineStr">
        <is>
          <t>To Buy</t>
        </is>
      </c>
      <c r="B18" s="18" t="inlineStr">
        <is>
          <t>B4</t>
        </is>
      </c>
      <c r="C18" s="19" t="inlineStr">
        <is>
          <t>Fine Stainless Steel Mesh / Nylon Filter</t>
        </is>
      </c>
      <c r="D18" s="20" t="inlineStr">
        <is>
          <t>Hanging Sensor Probe Housing</t>
        </is>
      </c>
      <c r="E18" s="21" t="inlineStr">
        <is>
          <t>80-120 mesh SS304 wire cloth or dense nylon micron mesh.</t>
        </is>
      </c>
      <c r="F18" s="22" t="n">
        <v>1</v>
      </c>
      <c r="G18" s="23" t="inlineStr">
        <is>
          <t>sheet</t>
        </is>
      </c>
      <c r="H18" s="24" t="n">
        <v>30</v>
      </c>
      <c r="I18" s="24" t="n">
        <v>60</v>
      </c>
      <c r="J18" s="25">
        <f>F18*H18</f>
        <v/>
      </c>
      <c r="K18" s="25">
        <f>F18*I18</f>
        <v/>
      </c>
      <c r="L18" s="25" t="n"/>
      <c r="M18" s="21" t="inlineStr">
        <is>
          <t>Hardware Store / Shopee</t>
        </is>
      </c>
      <c r="N18" s="26" t="inlineStr">
        <is>
          <t>Stainless steel 304 mesh screen 100 mesh</t>
        </is>
      </c>
      <c r="O18" s="21" t="inlineStr">
        <is>
          <t>Glued to 2" bottom rim. Stops droplets, passes CO2.</t>
        </is>
      </c>
    </row>
    <row r="19" ht="44" customHeight="1">
      <c r="A19" s="9" t="inlineStr">
        <is>
          <t>To Buy</t>
        </is>
      </c>
      <c r="B19" s="9" t="inlineStr">
        <is>
          <t>B5</t>
        </is>
      </c>
      <c r="C19" s="10" t="inlineStr">
        <is>
          <t>PTFE Hydrophobic Membrane Disc (13-25mm)</t>
        </is>
      </c>
      <c r="D19" s="11" t="inlineStr">
        <is>
          <t>Hanging Sensor Probe Housing</t>
        </is>
      </c>
      <c r="E19" s="12" t="inlineStr">
        <is>
          <t>ePTFE breathable membrane, hydrophobic IP67 rating, gas permeable.</t>
        </is>
      </c>
      <c r="F19" s="13" t="n">
        <v>1</v>
      </c>
      <c r="G19" s="14" t="inlineStr">
        <is>
          <t>pc</t>
        </is>
      </c>
      <c r="H19" s="15" t="n">
        <v>40</v>
      </c>
      <c r="I19" s="15" t="n">
        <v>80</v>
      </c>
      <c r="J19" s="16">
        <f>F19*H19</f>
        <v/>
      </c>
      <c r="K19" s="16">
        <f>F19*I19</f>
        <v/>
      </c>
      <c r="L19" s="16" t="n"/>
      <c r="M19" s="12" t="inlineStr">
        <is>
          <t>Shopee</t>
        </is>
      </c>
      <c r="N19" s="17" t="inlineStr">
        <is>
          <t>PTFE membrane disc sensor waterproof</t>
        </is>
      </c>
      <c r="O19" s="12" t="inlineStr">
        <is>
          <t>Glued over SCD41 aperture to prevent condensation.</t>
        </is>
      </c>
    </row>
    <row r="20" ht="44" customHeight="1">
      <c r="A20" s="18" t="inlineStr">
        <is>
          <t>To Buy</t>
        </is>
      </c>
      <c r="B20" s="18" t="inlineStr">
        <is>
          <t>B6</t>
        </is>
      </c>
      <c r="C20" s="19" t="inlineStr">
        <is>
          <t>PVC Solvent Cement &amp; Rapid Epoxy</t>
        </is>
      </c>
      <c r="D20" s="20" t="inlineStr">
        <is>
          <t>Hanging Sensor Probe Housing</t>
        </is>
      </c>
      <c r="E20" s="21" t="inlineStr">
        <is>
          <t>100ml PVC cement + 2-part rapid epoxy (Pioneer/Devcon).</t>
        </is>
      </c>
      <c r="F20" s="22" t="n">
        <v>1</v>
      </c>
      <c r="G20" s="23" t="inlineStr">
        <is>
          <t>tube</t>
        </is>
      </c>
      <c r="H20" s="24" t="n">
        <v>45</v>
      </c>
      <c r="I20" s="24" t="n">
        <v>80</v>
      </c>
      <c r="J20" s="25">
        <f>F20*H20</f>
        <v/>
      </c>
      <c r="K20" s="25">
        <f>F20*I20</f>
        <v/>
      </c>
      <c r="L20" s="25" t="n"/>
      <c r="M20" s="21" t="inlineStr">
        <is>
          <t>Any Hardware Store</t>
        </is>
      </c>
      <c r="N20" s="26" t="inlineStr">
        <is>
          <t>PVC cement Neltex + Pioneer epoxy</t>
        </is>
      </c>
      <c r="O20" s="21" t="inlineStr">
        <is>
          <t>Bonds screen to PVC rim and seals gland threads.</t>
        </is>
      </c>
    </row>
    <row r="21" ht="44" customHeight="1">
      <c r="A21" s="9" t="inlineStr">
        <is>
          <t>To Buy</t>
        </is>
      </c>
      <c r="B21" s="9" t="inlineStr">
        <is>
          <t>B7</t>
        </is>
      </c>
      <c r="C21" s="10" t="inlineStr">
        <is>
          <t>Printed Vinyl Label Sticker</t>
        </is>
      </c>
      <c r="D21" s="11" t="inlineStr">
        <is>
          <t>Hanging Sensor Probe Housing</t>
        </is>
      </c>
      <c r="E21" s="12" t="inlineStr">
        <is>
          <t>Weatherproof vinyl sticker: 'KABUTECH HIYAS — Probe SN-01'.</t>
        </is>
      </c>
      <c r="F21" s="13" t="n">
        <v>1</v>
      </c>
      <c r="G21" s="14" t="inlineStr">
        <is>
          <t>pc</t>
        </is>
      </c>
      <c r="H21" s="15" t="n">
        <v>20</v>
      </c>
      <c r="I21" s="15" t="n">
        <v>30</v>
      </c>
      <c r="J21" s="16">
        <f>F21*H21</f>
        <v/>
      </c>
      <c r="K21" s="16">
        <f>F21*I21</f>
        <v/>
      </c>
      <c r="L21" s="16" t="n"/>
      <c r="M21" s="12" t="inlineStr">
        <is>
          <t>Print Shop / DIY Vinyl</t>
        </is>
      </c>
      <c r="N21" s="17" t="inlineStr">
        <is>
          <t>Waterproof vinyl sticker printing</t>
        </is>
      </c>
      <c r="O21" s="12" t="inlineStr">
        <is>
          <t>Professional thesis branding for probe assembly.</t>
        </is>
      </c>
    </row>
    <row r="22" ht="44" customHeight="1">
      <c r="A22" s="18" t="inlineStr">
        <is>
          <t>To Buy</t>
        </is>
      </c>
      <c r="B22" s="18" t="inlineStr">
        <is>
          <t>B8</t>
        </is>
      </c>
      <c r="C22" s="19" t="inlineStr">
        <is>
          <t>Nylon Cable Zip Ties (100mm)</t>
        </is>
      </c>
      <c r="D22" s="20" t="inlineStr">
        <is>
          <t>Hanging Sensor Probe Housing</t>
        </is>
      </c>
      <c r="E22" s="21" t="inlineStr">
        <is>
          <t>2.5mm × 100mm black nylon UV-resistant zip ties (Pack of 100).</t>
        </is>
      </c>
      <c r="F22" s="22" t="n">
        <v>1</v>
      </c>
      <c r="G22" s="23" t="inlineStr">
        <is>
          <t>pack</t>
        </is>
      </c>
      <c r="H22" s="24" t="n">
        <v>30</v>
      </c>
      <c r="I22" s="24" t="n">
        <v>45</v>
      </c>
      <c r="J22" s="25">
        <f>F22*H22</f>
        <v/>
      </c>
      <c r="K22" s="25">
        <f>F22*I22</f>
        <v/>
      </c>
      <c r="L22" s="25" t="n"/>
      <c r="M22" s="21" t="inlineStr">
        <is>
          <t>Hardware Store / Shopee</t>
        </is>
      </c>
      <c r="N22" s="26" t="inlineStr">
        <is>
          <t>Nylon zip ties 100mm black pack</t>
        </is>
      </c>
      <c r="O22" s="21" t="inlineStr">
        <is>
          <t>Internal wire bundling and strain relief.</t>
        </is>
      </c>
    </row>
    <row r="23" ht="34" customHeight="1">
      <c r="A23" s="27" t="inlineStr">
        <is>
          <t>Subtotal — Category B (Hanging Sensor Probe Housing):</t>
        </is>
      </c>
      <c r="B23" s="28" t="n"/>
      <c r="C23" s="28" t="n"/>
      <c r="D23" s="28" t="n"/>
      <c r="E23" s="28" t="n"/>
      <c r="F23" s="28" t="n"/>
      <c r="G23" s="28" t="n"/>
      <c r="H23" s="28" t="n"/>
      <c r="I23" s="28" t="n"/>
      <c r="J23" s="29">
        <f>SUM(J15:J22)</f>
        <v/>
      </c>
      <c r="K23" s="29">
        <f>SUM(K15:K22)</f>
        <v/>
      </c>
      <c r="L23" s="29">
        <f>SUM(L15:L22)</f>
        <v/>
      </c>
      <c r="M23" s="28" t="n"/>
      <c r="N23" s="28" t="n"/>
      <c r="O23" s="28" t="n"/>
    </row>
    <row r="24" ht="34" customHeight="1">
      <c r="A24" s="7" t="inlineStr">
        <is>
          <t>🧠 CATEGORY C: CONTROLLER BOARD &amp; CORE ELECTRONICS</t>
        </is>
      </c>
      <c r="B24" s="8" t="n"/>
      <c r="C24" s="8" t="n"/>
      <c r="D24" s="8" t="n"/>
      <c r="E24" s="8" t="n"/>
      <c r="F24" s="8" t="n"/>
      <c r="G24" s="8" t="n"/>
      <c r="H24" s="8" t="n"/>
      <c r="I24" s="8" t="n"/>
      <c r="J24" s="8" t="n"/>
      <c r="K24" s="8" t="n"/>
      <c r="L24" s="8" t="n"/>
      <c r="M24" s="8" t="n"/>
      <c r="N24" s="8" t="n"/>
      <c r="O24" s="8" t="n"/>
    </row>
    <row r="25" ht="44" customHeight="1">
      <c r="A25" s="9" t="inlineStr">
        <is>
          <t>To Buy</t>
        </is>
      </c>
      <c r="B25" s="9" t="inlineStr">
        <is>
          <t>C1</t>
        </is>
      </c>
      <c r="C25" s="10" t="inlineStr">
        <is>
          <t>ESP32-S3 DevKit N16R8 (USB-C)</t>
        </is>
      </c>
      <c r="D25" s="11" t="inlineStr">
        <is>
          <t>Controller Board &amp; Core Electronics</t>
        </is>
      </c>
      <c r="E25" s="12" t="inlineStr">
        <is>
          <t>16MB Flash, 8MB PSRAM, 240MHz Dual Core, WiFi 4 + BLE 5.0. Dual USB-C.</t>
        </is>
      </c>
      <c r="F25" s="13" t="n">
        <v>1</v>
      </c>
      <c r="G25" s="14" t="inlineStr">
        <is>
          <t>pc</t>
        </is>
      </c>
      <c r="H25" s="15" t="n">
        <v>350</v>
      </c>
      <c r="I25" s="15" t="n">
        <v>500</v>
      </c>
      <c r="J25" s="16">
        <f>F25*H25</f>
        <v/>
      </c>
      <c r="K25" s="16">
        <f>F25*I25</f>
        <v/>
      </c>
      <c r="L25" s="16" t="n"/>
      <c r="M25" s="12" t="inlineStr">
        <is>
          <t>Shopee / Makerlab PH / Circuit Rocks</t>
        </is>
      </c>
      <c r="N25" s="17" t="inlineStr">
        <is>
          <t>ESP32-S3 N16R8 DevKit USB-C</t>
        </is>
      </c>
      <c r="O25" s="12" t="inlineStr">
        <is>
          <t>Verify 'N16R8' in listing for full memory &amp; speed.</t>
        </is>
      </c>
    </row>
    <row r="26" ht="44" customHeight="1">
      <c r="A26" s="18" t="inlineStr">
        <is>
          <t>To Buy</t>
        </is>
      </c>
      <c r="B26" s="18" t="inlineStr">
        <is>
          <t>C2</t>
        </is>
      </c>
      <c r="C26" s="19" t="inlineStr">
        <is>
          <t>8-Channel Relay Module (5V, Optocoupled)</t>
        </is>
      </c>
      <c r="D26" s="20" t="inlineStr">
        <is>
          <t>Controller Board &amp; Core Electronics</t>
        </is>
      </c>
      <c r="E26" s="21" t="inlineStr">
        <is>
          <t>8-ch optoisolated relay board, active LOW trigger, 10A 250VAC rating.</t>
        </is>
      </c>
      <c r="F26" s="22" t="n">
        <v>1</v>
      </c>
      <c r="G26" s="23" t="inlineStr">
        <is>
          <t>pc</t>
        </is>
      </c>
      <c r="H26" s="24" t="n">
        <v>180</v>
      </c>
      <c r="I26" s="24" t="n">
        <v>280</v>
      </c>
      <c r="J26" s="25">
        <f>F26*H26</f>
        <v/>
      </c>
      <c r="K26" s="25">
        <f>F26*I26</f>
        <v/>
      </c>
      <c r="L26" s="25" t="n"/>
      <c r="M26" s="21" t="inlineStr">
        <is>
          <t>Shopee / Lazada / Makerlab PH</t>
        </is>
      </c>
      <c r="N26" s="26" t="inlineStr">
        <is>
          <t>8 channel relay module 5V optocoupler</t>
        </is>
      </c>
      <c r="O26" s="21" t="inlineStr">
        <is>
          <t>Controls: Exhaust, Intake, Mister, Light, Solenoid + 3 spares.</t>
        </is>
      </c>
    </row>
    <row r="27" ht="44" customHeight="1">
      <c r="A27" s="9" t="inlineStr">
        <is>
          <t>To Buy</t>
        </is>
      </c>
      <c r="B27" s="9" t="inlineStr">
        <is>
          <t>C3</t>
        </is>
      </c>
      <c r="C27" s="10" t="inlineStr">
        <is>
          <t>Logic Level Shifter (3.3V ↔ 5V, 4-Ch)</t>
        </is>
      </c>
      <c r="D27" s="11" t="inlineStr">
        <is>
          <t>Controller Board &amp; Core Electronics</t>
        </is>
      </c>
      <c r="E27" s="12" t="inlineStr">
        <is>
          <t>Bi-directional I2C / digital logic level converter with BSS138 MOSFETs.</t>
        </is>
      </c>
      <c r="F27" s="13" t="n">
        <v>1</v>
      </c>
      <c r="G27" s="14" t="inlineStr">
        <is>
          <t>pc</t>
        </is>
      </c>
      <c r="H27" s="15" t="n">
        <v>30</v>
      </c>
      <c r="I27" s="15" t="n">
        <v>50</v>
      </c>
      <c r="J27" s="16">
        <f>F27*H27</f>
        <v/>
      </c>
      <c r="K27" s="16">
        <f>F27*I27</f>
        <v/>
      </c>
      <c r="L27" s="16" t="n"/>
      <c r="M27" s="12" t="inlineStr">
        <is>
          <t>Shopee / Lazada</t>
        </is>
      </c>
      <c r="N27" s="17" t="inlineStr">
        <is>
          <t>4 channel logic level converter 3.3V 5V</t>
        </is>
      </c>
      <c r="O27" s="12" t="inlineStr">
        <is>
          <t>Protects ESP32 3.3V GPIOs driving 5V relay inputs.</t>
        </is>
      </c>
    </row>
    <row r="28" ht="44" customHeight="1">
      <c r="A28" s="18" t="inlineStr">
        <is>
          <t>To Buy</t>
        </is>
      </c>
      <c r="B28" s="18" t="inlineStr">
        <is>
          <t>C4</t>
        </is>
      </c>
      <c r="C28" s="19" t="inlineStr">
        <is>
          <t>Mini Breadboard / Expansion Strips</t>
        </is>
      </c>
      <c r="D28" s="20" t="inlineStr">
        <is>
          <t>Controller Board &amp; Core Electronics</t>
        </is>
      </c>
      <c r="E28" s="21" t="inlineStr">
        <is>
          <t>170-tie point mini solderless breadboard with adhesive backing.</t>
        </is>
      </c>
      <c r="F28" s="22" t="n">
        <v>2</v>
      </c>
      <c r="G28" s="23" t="inlineStr">
        <is>
          <t>pcs</t>
        </is>
      </c>
      <c r="H28" s="24" t="n">
        <v>25</v>
      </c>
      <c r="I28" s="24" t="n">
        <v>40</v>
      </c>
      <c r="J28" s="25">
        <f>F28*H28</f>
        <v/>
      </c>
      <c r="K28" s="25">
        <f>F28*I28</f>
        <v/>
      </c>
      <c r="L28" s="25" t="n"/>
      <c r="M28" s="21" t="inlineStr">
        <is>
          <t>Shopee / Electronics Store</t>
        </is>
      </c>
      <c r="N28" s="26" t="inlineStr">
        <is>
          <t>170 tie point mini breadboard</t>
        </is>
      </c>
      <c r="O28" s="21" t="inlineStr">
        <is>
          <t>Prototyping power rail distribution inside cabinet.</t>
        </is>
      </c>
    </row>
    <row r="29" ht="44" customHeight="1">
      <c r="A29" s="9" t="inlineStr">
        <is>
          <t>To Buy</t>
        </is>
      </c>
      <c r="B29" s="9" t="inlineStr">
        <is>
          <t>C5</t>
        </is>
      </c>
      <c r="C29" s="10" t="inlineStr">
        <is>
          <t>LM2596 DC-DC Step-Down Buck Converter</t>
        </is>
      </c>
      <c r="D29" s="11" t="inlineStr">
        <is>
          <t>Controller Board &amp; Core Electronics</t>
        </is>
      </c>
      <c r="E29" s="12" t="inlineStr">
        <is>
          <t>Input 4-40V, Output 1.25-35V adjustable, 3A peak, high efficiency.</t>
        </is>
      </c>
      <c r="F29" s="13" t="n">
        <v>1</v>
      </c>
      <c r="G29" s="14" t="inlineStr">
        <is>
          <t>pc</t>
        </is>
      </c>
      <c r="H29" s="15" t="n">
        <v>40</v>
      </c>
      <c r="I29" s="15" t="n">
        <v>70</v>
      </c>
      <c r="J29" s="16">
        <f>F29*H29</f>
        <v/>
      </c>
      <c r="K29" s="16">
        <f>F29*I29</f>
        <v/>
      </c>
      <c r="L29" s="16" t="n"/>
      <c r="M29" s="12" t="inlineStr">
        <is>
          <t>Shopee / Lazada</t>
        </is>
      </c>
      <c r="N29" s="17" t="inlineStr">
        <is>
          <t>LM2596 DC-DC buck converter module</t>
        </is>
      </c>
      <c r="O29" s="12" t="inlineStr">
        <is>
          <t>Steps down 12V rail to clean 5.0V for MCU &amp; relays.</t>
        </is>
      </c>
    </row>
    <row r="30" ht="44" customHeight="1">
      <c r="A30" s="18" t="inlineStr">
        <is>
          <t>To Buy</t>
        </is>
      </c>
      <c r="B30" s="18" t="inlineStr">
        <is>
          <t>C6</t>
        </is>
      </c>
      <c r="C30" s="19" t="inlineStr">
        <is>
          <t>5V 1A Voltage Regulator Module (AMS1117)</t>
        </is>
      </c>
      <c r="D30" s="20" t="inlineStr">
        <is>
          <t>Controller Board &amp; Core Electronics</t>
        </is>
      </c>
      <c r="E30" s="21" t="inlineStr">
        <is>
          <t>Linear regulator module with input/output filter capacitors &amp; power LED.</t>
        </is>
      </c>
      <c r="F30" s="22" t="n">
        <v>1</v>
      </c>
      <c r="G30" s="23" t="inlineStr">
        <is>
          <t>pc</t>
        </is>
      </c>
      <c r="H30" s="24" t="n">
        <v>20</v>
      </c>
      <c r="I30" s="24" t="n">
        <v>40</v>
      </c>
      <c r="J30" s="25">
        <f>F30*H30</f>
        <v/>
      </c>
      <c r="K30" s="25">
        <f>F30*I30</f>
        <v/>
      </c>
      <c r="L30" s="25" t="n"/>
      <c r="M30" s="21" t="inlineStr">
        <is>
          <t>Shopee / Electronics Store</t>
        </is>
      </c>
      <c r="N30" s="26" t="inlineStr">
        <is>
          <t>AMS1117 5V power supply module</t>
        </is>
      </c>
      <c r="O30" s="21" t="inlineStr">
        <is>
          <t>Dedicated filtered 5V rail to prevent relay-induced brownouts.</t>
        </is>
      </c>
    </row>
    <row r="31" ht="44" customHeight="1">
      <c r="A31" s="9" t="inlineStr">
        <is>
          <t>To Buy</t>
        </is>
      </c>
      <c r="B31" s="9" t="inlineStr">
        <is>
          <t>C7</t>
        </is>
      </c>
      <c r="C31" s="10" t="inlineStr">
        <is>
          <t>3-Position Toggle Switch (Auto/Off/Manual)</t>
        </is>
      </c>
      <c r="D31" s="11" t="inlineStr">
        <is>
          <t>Controller Board &amp; Core Electronics</t>
        </is>
      </c>
      <c r="E31" s="12" t="inlineStr">
        <is>
          <t>Panel-mount 3-position (ON-OFF-ON) heavy-duty toggle switch.</t>
        </is>
      </c>
      <c r="F31" s="13" t="n">
        <v>1</v>
      </c>
      <c r="G31" s="14" t="inlineStr">
        <is>
          <t>pc</t>
        </is>
      </c>
      <c r="H31" s="15" t="n">
        <v>30</v>
      </c>
      <c r="I31" s="15" t="n">
        <v>50</v>
      </c>
      <c r="J31" s="16">
        <f>F31*H31</f>
        <v/>
      </c>
      <c r="K31" s="16">
        <f>F31*I31</f>
        <v/>
      </c>
      <c r="L31" s="16" t="n"/>
      <c r="M31" s="12" t="inlineStr">
        <is>
          <t>Shopee / Hardware Store</t>
        </is>
      </c>
      <c r="N31" s="17" t="inlineStr">
        <is>
          <t>Toggle switch 3 position ON-OFF-ON panel mount</t>
        </is>
      </c>
      <c r="O31" s="12" t="inlineStr">
        <is>
          <t>Hardware override switch: Auto PID / Off / Manual Mode.</t>
        </is>
      </c>
    </row>
    <row r="32" ht="44" customHeight="1">
      <c r="A32" s="18" t="inlineStr">
        <is>
          <t>To Buy</t>
        </is>
      </c>
      <c r="B32" s="18" t="inlineStr">
        <is>
          <t>C8</t>
        </is>
      </c>
      <c r="C32" s="19" t="inlineStr">
        <is>
          <t>5mm LEDs (R, G, B, Y) + 220Ω Resistors</t>
        </is>
      </c>
      <c r="D32" s="20" t="inlineStr">
        <is>
          <t>Controller Board &amp; Core Electronics</t>
        </is>
      </c>
      <c r="E32" s="21" t="inlineStr">
        <is>
          <t>Panel-mount 5mm LEDs with bezels + 1/4W 220Ω current limiting resistors.</t>
        </is>
      </c>
      <c r="F32" s="22" t="n">
        <v>1</v>
      </c>
      <c r="G32" s="23" t="inlineStr">
        <is>
          <t>set</t>
        </is>
      </c>
      <c r="H32" s="24" t="n">
        <v>30</v>
      </c>
      <c r="I32" s="24" t="n">
        <v>40</v>
      </c>
      <c r="J32" s="25">
        <f>F32*H32</f>
        <v/>
      </c>
      <c r="K32" s="25">
        <f>F32*I32</f>
        <v/>
      </c>
      <c r="L32" s="25" t="n"/>
      <c r="M32" s="21" t="inlineStr">
        <is>
          <t>Shopee / Electronics Store</t>
        </is>
      </c>
      <c r="N32" s="26" t="inlineStr">
        <is>
          <t>5mm LED with bezel panel mount set</t>
        </is>
      </c>
      <c r="O32" s="21" t="inlineStr">
        <is>
          <t>Front panel indicators: Power (G), WiFi (B), Alarm (R), Mode (Y).</t>
        </is>
      </c>
    </row>
    <row r="33" ht="44" customHeight="1">
      <c r="A33" s="9" t="inlineStr">
        <is>
          <t>To Buy</t>
        </is>
      </c>
      <c r="B33" s="9" t="inlineStr">
        <is>
          <t>C9</t>
        </is>
      </c>
      <c r="C33" s="10" t="inlineStr">
        <is>
          <t>Momentary Push Button (12mm, Panel-Mount)</t>
        </is>
      </c>
      <c r="D33" s="11" t="inlineStr">
        <is>
          <t>Controller Board &amp; Core Electronics</t>
        </is>
      </c>
      <c r="E33" s="12" t="inlineStr">
        <is>
          <t>Waterproof momentary push button, normally open (NO), flush metal head.</t>
        </is>
      </c>
      <c r="F33" s="13" t="n">
        <v>1</v>
      </c>
      <c r="G33" s="14" t="inlineStr">
        <is>
          <t>pc</t>
        </is>
      </c>
      <c r="H33" s="15" t="n">
        <v>15</v>
      </c>
      <c r="I33" s="15" t="n">
        <v>30</v>
      </c>
      <c r="J33" s="16">
        <f>F33*H33</f>
        <v/>
      </c>
      <c r="K33" s="16">
        <f>F33*I33</f>
        <v/>
      </c>
      <c r="L33" s="16" t="n"/>
      <c r="M33" s="12" t="inlineStr">
        <is>
          <t>Shopee / Electronics Store</t>
        </is>
      </c>
      <c r="N33" s="17" t="inlineStr">
        <is>
          <t>12mm waterproof momentary push button metal</t>
        </is>
      </c>
      <c r="O33" s="12" t="inlineStr">
        <is>
          <t>External Cabinet System Reset / WiFi Provision button.</t>
        </is>
      </c>
    </row>
    <row r="34" ht="44" customHeight="1">
      <c r="A34" s="18" t="inlineStr">
        <is>
          <t>To Buy</t>
        </is>
      </c>
      <c r="B34" s="18" t="inlineStr">
        <is>
          <t>C10</t>
        </is>
      </c>
      <c r="C34" s="19" t="inlineStr">
        <is>
          <t>10kΩ 1/4W Resistors (Pack of 20)</t>
        </is>
      </c>
      <c r="D34" s="20" t="inlineStr">
        <is>
          <t>Controller Board &amp; Core Electronics</t>
        </is>
      </c>
      <c r="E34" s="21" t="inlineStr">
        <is>
          <t>1% tolerance 1/4W metal film through-hole resistors.</t>
        </is>
      </c>
      <c r="F34" s="22" t="n">
        <v>1</v>
      </c>
      <c r="G34" s="23" t="inlineStr">
        <is>
          <t>pack</t>
        </is>
      </c>
      <c r="H34" s="24" t="n">
        <v>20</v>
      </c>
      <c r="I34" s="24" t="n">
        <v>30</v>
      </c>
      <c r="J34" s="25">
        <f>F34*H34</f>
        <v/>
      </c>
      <c r="K34" s="25">
        <f>F34*I34</f>
        <v/>
      </c>
      <c r="L34" s="25" t="n"/>
      <c r="M34" s="21" t="inlineStr">
        <is>
          <t>Shopee / Electronics Store</t>
        </is>
      </c>
      <c r="N34" s="26" t="inlineStr">
        <is>
          <t>10k ohm 1/4W metal film resistors pack</t>
        </is>
      </c>
      <c r="O34" s="21" t="inlineStr">
        <is>
          <t>I2C pull-ups, button debouncing, switch logic.</t>
        </is>
      </c>
    </row>
    <row r="35" ht="44" customHeight="1">
      <c r="A35" s="9" t="inlineStr">
        <is>
          <t>To Buy</t>
        </is>
      </c>
      <c r="B35" s="9" t="inlineStr">
        <is>
          <t>C11</t>
        </is>
      </c>
      <c r="C35" s="10" t="inlineStr">
        <is>
          <t>1N4007 Rectifier Diodes (Pack of 10)</t>
        </is>
      </c>
      <c r="D35" s="11" t="inlineStr">
        <is>
          <t>Controller Board &amp; Core Electronics</t>
        </is>
      </c>
      <c r="E35" s="12" t="inlineStr">
        <is>
          <t>1000V 1A standard recovery rectifier diode, DO-41 package.</t>
        </is>
      </c>
      <c r="F35" s="13" t="n">
        <v>1</v>
      </c>
      <c r="G35" s="14" t="inlineStr">
        <is>
          <t>pack</t>
        </is>
      </c>
      <c r="H35" s="15" t="n">
        <v>15</v>
      </c>
      <c r="I35" s="15" t="n">
        <v>30</v>
      </c>
      <c r="J35" s="16">
        <f>F35*H35</f>
        <v/>
      </c>
      <c r="K35" s="16">
        <f>F35*I35</f>
        <v/>
      </c>
      <c r="L35" s="16" t="n"/>
      <c r="M35" s="12" t="inlineStr">
        <is>
          <t>Shopee / Electronics Store</t>
        </is>
      </c>
      <c r="N35" s="17" t="inlineStr">
        <is>
          <t>1N4007 diode pack 10pcs</t>
        </is>
      </c>
      <c r="O35" s="12" t="inlineStr">
        <is>
          <t>Flyback diode protection across pump, solenoid &amp; fan coils.</t>
        </is>
      </c>
    </row>
    <row r="36" ht="44" customHeight="1">
      <c r="A36" s="18" t="inlineStr">
        <is>
          <t>To Buy</t>
        </is>
      </c>
      <c r="B36" s="18" t="inlineStr">
        <is>
          <t>C12</t>
        </is>
      </c>
      <c r="C36" s="19" t="inlineStr">
        <is>
          <t>Inline Blade Fuse Holder (16AWG) + 5A Fuses</t>
        </is>
      </c>
      <c r="D36" s="20" t="inlineStr">
        <is>
          <t>Controller Board &amp; Core Electronics</t>
        </is>
      </c>
      <c r="E36" s="21" t="inlineStr">
        <is>
          <t>Waterproof automotive inline fuse holder + 5A blade fuses (Pack of 5).</t>
        </is>
      </c>
      <c r="F36" s="22" t="n">
        <v>2</v>
      </c>
      <c r="G36" s="23" t="inlineStr">
        <is>
          <t>pcs</t>
        </is>
      </c>
      <c r="H36" s="24" t="n">
        <v>25</v>
      </c>
      <c r="I36" s="24" t="n">
        <v>50</v>
      </c>
      <c r="J36" s="25">
        <f>F36*H36</f>
        <v/>
      </c>
      <c r="K36" s="25">
        <f>F36*I36</f>
        <v/>
      </c>
      <c r="L36" s="25" t="n"/>
      <c r="M36" s="21" t="inlineStr">
        <is>
          <t>Shopee / Automotive Store</t>
        </is>
      </c>
      <c r="N36" s="26" t="inlineStr">
        <is>
          <t>Inline blade fuse holder waterproof 16AWG</t>
        </is>
      </c>
      <c r="O36" s="21" t="inlineStr">
        <is>
          <t>Protects main 12V rail and high-draw actuator branches.</t>
        </is>
      </c>
    </row>
    <row r="37" ht="34" customHeight="1">
      <c r="A37" s="27" t="inlineStr">
        <is>
          <t>Subtotal — Category C (Controller Board &amp; Core Electronics):</t>
        </is>
      </c>
      <c r="B37" s="28" t="n"/>
      <c r="C37" s="28" t="n"/>
      <c r="D37" s="28" t="n"/>
      <c r="E37" s="28" t="n"/>
      <c r="F37" s="28" t="n"/>
      <c r="G37" s="28" t="n"/>
      <c r="H37" s="28" t="n"/>
      <c r="I37" s="28" t="n"/>
      <c r="J37" s="29">
        <f>SUM(J25:J36)</f>
        <v/>
      </c>
      <c r="K37" s="29">
        <f>SUM(K25:K36)</f>
        <v/>
      </c>
      <c r="L37" s="29">
        <f>SUM(L25:L36)</f>
        <v/>
      </c>
      <c r="M37" s="28" t="n"/>
      <c r="N37" s="28" t="n"/>
      <c r="O37" s="28" t="n"/>
    </row>
    <row r="38" ht="34" customHeight="1">
      <c r="A38" s="7" t="inlineStr">
        <is>
          <t>⚡ CATEGORY D: POWER SUPPLY &amp; DISTRIBUTION</t>
        </is>
      </c>
      <c r="B38" s="8" t="n"/>
      <c r="C38" s="8" t="n"/>
      <c r="D38" s="8" t="n"/>
      <c r="E38" s="8" t="n"/>
      <c r="F38" s="8" t="n"/>
      <c r="G38" s="8" t="n"/>
      <c r="H38" s="8" t="n"/>
      <c r="I38" s="8" t="n"/>
      <c r="J38" s="8" t="n"/>
      <c r="K38" s="8" t="n"/>
      <c r="L38" s="8" t="n"/>
      <c r="M38" s="8" t="n"/>
      <c r="N38" s="8" t="n"/>
      <c r="O38" s="8" t="n"/>
    </row>
    <row r="39" ht="44" customHeight="1">
      <c r="A39" s="9" t="inlineStr">
        <is>
          <t>To Buy</t>
        </is>
      </c>
      <c r="B39" s="9" t="inlineStr">
        <is>
          <t>D1</t>
        </is>
      </c>
      <c r="C39" s="10" t="inlineStr">
        <is>
          <t>12V 5A (60W) Enclosed Switching PSU</t>
        </is>
      </c>
      <c r="D39" s="11" t="inlineStr">
        <is>
          <t>Power Supply &amp; Distribution</t>
        </is>
      </c>
      <c r="E39" s="12" t="inlineStr">
        <is>
          <t>Metal mesh chassis, universal AC in (110-240V), regulated 12VDC ±1%.</t>
        </is>
      </c>
      <c r="F39" s="13" t="n">
        <v>1</v>
      </c>
      <c r="G39" s="14" t="inlineStr">
        <is>
          <t>pc</t>
        </is>
      </c>
      <c r="H39" s="15" t="n">
        <v>600</v>
      </c>
      <c r="I39" s="15" t="n">
        <v>1000</v>
      </c>
      <c r="J39" s="16">
        <f>F39*H39</f>
        <v/>
      </c>
      <c r="K39" s="16">
        <f>F39*I39</f>
        <v/>
      </c>
      <c r="L39" s="16" t="n"/>
      <c r="M39" s="12" t="inlineStr">
        <is>
          <t>Shopee / Lazada / Alexan</t>
        </is>
      </c>
      <c r="N39" s="17" t="inlineStr">
        <is>
          <t>12V 5A switching power supply metal case</t>
        </is>
      </c>
      <c r="O39" s="12" t="inlineStr">
        <is>
          <t>Powers entire system safely: ESP32, fans, pump, valve.</t>
        </is>
      </c>
    </row>
    <row r="40" ht="44" customHeight="1">
      <c r="A40" s="18" t="inlineStr">
        <is>
          <t>To Buy</t>
        </is>
      </c>
      <c r="B40" s="18" t="inlineStr">
        <is>
          <t>D2</t>
        </is>
      </c>
      <c r="C40" s="19" t="inlineStr">
        <is>
          <t>IEC C14 Inlet Socket with Fuse &amp; Switch</t>
        </is>
      </c>
      <c r="D40" s="20" t="inlineStr">
        <is>
          <t>Power Supply &amp; Distribution</t>
        </is>
      </c>
      <c r="E40" s="21" t="inlineStr">
        <is>
          <t>Panel-mount AC socket with built-in 5x20mm fuse drawer &amp; illuminated switch.</t>
        </is>
      </c>
      <c r="F40" s="22" t="n">
        <v>1</v>
      </c>
      <c r="G40" s="23" t="inlineStr">
        <is>
          <t>pc</t>
        </is>
      </c>
      <c r="H40" s="24" t="n">
        <v>60</v>
      </c>
      <c r="I40" s="24" t="n">
        <v>100</v>
      </c>
      <c r="J40" s="25">
        <f>F40*H40</f>
        <v/>
      </c>
      <c r="K40" s="25">
        <f>F40*I40</f>
        <v/>
      </c>
      <c r="L40" s="25" t="n"/>
      <c r="M40" s="21" t="inlineStr">
        <is>
          <t>Shopee / Lazada / Alexan</t>
        </is>
      </c>
      <c r="N40" s="26" t="inlineStr">
        <is>
          <t>IEC C14 power socket with fuse switch panel mount</t>
        </is>
      </c>
      <c r="O40" s="21" t="inlineStr">
        <is>
          <t>Professional computer kettle cord inlet on enclosure face.</t>
        </is>
      </c>
    </row>
    <row r="41" ht="44" customHeight="1">
      <c r="A41" s="9" t="inlineStr">
        <is>
          <t>To Buy</t>
        </is>
      </c>
      <c r="B41" s="9" t="inlineStr">
        <is>
          <t>D3</t>
        </is>
      </c>
      <c r="C41" s="10" t="inlineStr">
        <is>
          <t>220V AC Power Cord (3-Prong PH, 1.5m)</t>
        </is>
      </c>
      <c r="D41" s="11" t="inlineStr">
        <is>
          <t>Power Supply &amp; Distribution</t>
        </is>
      </c>
      <c r="E41" s="12" t="inlineStr">
        <is>
          <t>Heavy-duty 3-conductor (G, N, L) cable, rated 250V 10A, molded C13 plug.</t>
        </is>
      </c>
      <c r="F41" s="13" t="n">
        <v>1</v>
      </c>
      <c r="G41" s="14" t="inlineStr">
        <is>
          <t>pc</t>
        </is>
      </c>
      <c r="H41" s="15" t="n">
        <v>80</v>
      </c>
      <c r="I41" s="15" t="n">
        <v>150</v>
      </c>
      <c r="J41" s="16">
        <f>F41*H41</f>
        <v/>
      </c>
      <c r="K41" s="16">
        <f>F41*I41</f>
        <v/>
      </c>
      <c r="L41" s="16" t="n"/>
      <c r="M41" s="12" t="inlineStr">
        <is>
          <t>Hardware Store / Shopee</t>
        </is>
      </c>
      <c r="N41" s="17" t="inlineStr">
        <is>
          <t>PC power cord 3 prong IEC C13 1.5m</t>
        </is>
      </c>
      <c r="O41" s="12" t="inlineStr">
        <is>
          <t>Standard wall plug with true safety earth grounding.</t>
        </is>
      </c>
    </row>
    <row r="42" ht="44" customHeight="1">
      <c r="A42" s="18" t="inlineStr">
        <is>
          <t>To Buy</t>
        </is>
      </c>
      <c r="B42" s="18" t="inlineStr">
        <is>
          <t>D4</t>
        </is>
      </c>
      <c r="C42" s="19" t="inlineStr">
        <is>
          <t>12-Position Terminal Block Strip (15A)</t>
        </is>
      </c>
      <c r="D42" s="20" t="inlineStr">
        <is>
          <t>Power Supply &amp; Distribution</t>
        </is>
      </c>
      <c r="E42" s="21" t="inlineStr">
        <is>
          <t>Dual-row screw terminal strip with clear cover, 15A 600V rated.</t>
        </is>
      </c>
      <c r="F42" s="22" t="n">
        <v>2</v>
      </c>
      <c r="G42" s="23" t="inlineStr">
        <is>
          <t>pcs</t>
        </is>
      </c>
      <c r="H42" s="24" t="n">
        <v>30</v>
      </c>
      <c r="I42" s="24" t="n">
        <v>60</v>
      </c>
      <c r="J42" s="25">
        <f>F42*H42</f>
        <v/>
      </c>
      <c r="K42" s="25">
        <f>F42*I42</f>
        <v/>
      </c>
      <c r="L42" s="25" t="n"/>
      <c r="M42" s="21" t="inlineStr">
        <is>
          <t>Shopee / Hardware Store</t>
        </is>
      </c>
      <c r="N42" s="26" t="inlineStr">
        <is>
          <t>TB-1512 barrier terminal block 12 position 15A</t>
        </is>
      </c>
      <c r="O42" s="21" t="inlineStr">
        <is>
          <t>Organized 12V (+), GND (-), and relay output distribution.</t>
        </is>
      </c>
    </row>
    <row r="43" ht="44" customHeight="1">
      <c r="A43" s="9" t="inlineStr">
        <is>
          <t>To Buy</t>
        </is>
      </c>
      <c r="B43" s="9" t="inlineStr">
        <is>
          <t>D5</t>
        </is>
      </c>
      <c r="C43" s="10" t="inlineStr">
        <is>
          <t>Wago 221 Lever Connectors (3-Wire, 5-Pack)</t>
        </is>
      </c>
      <c r="D43" s="11" t="inlineStr">
        <is>
          <t>Power Supply &amp; Distribution</t>
        </is>
      </c>
      <c r="E43" s="12" t="inlineStr">
        <is>
          <t>Tool-free lever wire connectors, supports 24-12 AWG solid &amp; stranded.</t>
        </is>
      </c>
      <c r="F43" s="13" t="n">
        <v>2</v>
      </c>
      <c r="G43" s="14" t="inlineStr">
        <is>
          <t>packs</t>
        </is>
      </c>
      <c r="H43" s="15" t="n">
        <v>50</v>
      </c>
      <c r="I43" s="15" t="n">
        <v>80</v>
      </c>
      <c r="J43" s="16">
        <f>F43*H43</f>
        <v/>
      </c>
      <c r="K43" s="16">
        <f>F43*I43</f>
        <v/>
      </c>
      <c r="L43" s="16" t="n"/>
      <c r="M43" s="12" t="inlineStr">
        <is>
          <t>Shopee / Lazada</t>
        </is>
      </c>
      <c r="N43" s="17" t="inlineStr">
        <is>
          <t>Wago 221-413 3 wire lever connector</t>
        </is>
      </c>
      <c r="O43" s="12" t="inlineStr">
        <is>
          <t>Safe, reusable vibration-proof wire splicing inside box.</t>
        </is>
      </c>
    </row>
    <row r="44" ht="44" customHeight="1">
      <c r="A44" s="18" t="inlineStr">
        <is>
          <t>To Buy</t>
        </is>
      </c>
      <c r="B44" s="18" t="inlineStr">
        <is>
          <t>D6</t>
        </is>
      </c>
      <c r="C44" s="19" t="inlineStr">
        <is>
          <t>KCD1 Rocker Switch (ON-OFF, 220V 6A)</t>
        </is>
      </c>
      <c r="D44" s="20" t="inlineStr">
        <is>
          <t>Power Supply &amp; Distribution</t>
        </is>
      </c>
      <c r="E44" s="21" t="inlineStr">
        <is>
          <t>Snap-in SPST rocker switch with red neon indicator, 19×13mm cutout.</t>
        </is>
      </c>
      <c r="F44" s="22" t="n">
        <v>1</v>
      </c>
      <c r="G44" s="23" t="inlineStr">
        <is>
          <t>pc</t>
        </is>
      </c>
      <c r="H44" s="24" t="n">
        <v>25</v>
      </c>
      <c r="I44" s="24" t="n">
        <v>40</v>
      </c>
      <c r="J44" s="25">
        <f>F44*H44</f>
        <v/>
      </c>
      <c r="K44" s="25">
        <f>F44*I44</f>
        <v/>
      </c>
      <c r="L44" s="25" t="n"/>
      <c r="M44" s="21" t="inlineStr">
        <is>
          <t>Shopee / Hardware Store</t>
        </is>
      </c>
      <c r="N44" s="26" t="inlineStr">
        <is>
          <t>KCD1 rocker switch illuminated red 3 pin</t>
        </is>
      </c>
      <c r="O44" s="21" t="inlineStr">
        <is>
          <t>Master power switch on controller enclosure exterior.</t>
        </is>
      </c>
    </row>
    <row r="45" ht="44" customHeight="1">
      <c r="A45" s="9" t="inlineStr">
        <is>
          <t>To Buy</t>
        </is>
      </c>
      <c r="B45" s="9" t="inlineStr">
        <is>
          <t>D7</t>
        </is>
      </c>
      <c r="C45" s="10" t="inlineStr">
        <is>
          <t>Metal Oxide Varistor MOV (275V, 10D431K)</t>
        </is>
      </c>
      <c r="D45" s="11" t="inlineStr">
        <is>
          <t>Power Supply &amp; Distribution</t>
        </is>
      </c>
      <c r="E45" s="12" t="inlineStr">
        <is>
          <t>275VAC RMS surge suppressor, absorbs grid spikes &amp; brownout transients.</t>
        </is>
      </c>
      <c r="F45" s="13" t="n">
        <v>1</v>
      </c>
      <c r="G45" s="14" t="inlineStr">
        <is>
          <t>pc</t>
        </is>
      </c>
      <c r="H45" s="15" t="n">
        <v>25</v>
      </c>
      <c r="I45" s="15" t="n">
        <v>30</v>
      </c>
      <c r="J45" s="16">
        <f>F45*H45</f>
        <v/>
      </c>
      <c r="K45" s="16">
        <f>F45*I45</f>
        <v/>
      </c>
      <c r="L45" s="16" t="n"/>
      <c r="M45" s="12" t="inlineStr">
        <is>
          <t>Shopee / Electronics Store</t>
        </is>
      </c>
      <c r="N45" s="17" t="inlineStr">
        <is>
          <t>Varistor 10D431K 275V surge protector</t>
        </is>
      </c>
      <c r="O45" s="12" t="inlineStr">
        <is>
          <t>Wired across AC Live &amp; Neutral at inlet for surge protection.</t>
        </is>
      </c>
    </row>
    <row r="46" ht="34" customHeight="1">
      <c r="A46" s="27" t="inlineStr">
        <is>
          <t>Subtotal — Category D (Power Supply &amp; Distribution):</t>
        </is>
      </c>
      <c r="B46" s="28" t="n"/>
      <c r="C46" s="28" t="n"/>
      <c r="D46" s="28" t="n"/>
      <c r="E46" s="28" t="n"/>
      <c r="F46" s="28" t="n"/>
      <c r="G46" s="28" t="n"/>
      <c r="H46" s="28" t="n"/>
      <c r="I46" s="28" t="n"/>
      <c r="J46" s="29">
        <f>SUM(J39:J45)</f>
        <v/>
      </c>
      <c r="K46" s="29">
        <f>SUM(K39:K45)</f>
        <v/>
      </c>
      <c r="L46" s="29">
        <f>SUM(L39:L45)</f>
        <v/>
      </c>
      <c r="M46" s="28" t="n"/>
      <c r="N46" s="28" t="n"/>
      <c r="O46" s="28" t="n"/>
    </row>
    <row r="47" ht="34" customHeight="1">
      <c r="A47" s="7" t="inlineStr">
        <is>
          <t>🔌 CATEGORY E: CONNECTORS &amp; WIRING</t>
        </is>
      </c>
      <c r="B47" s="8" t="n"/>
      <c r="C47" s="8" t="n"/>
      <c r="D47" s="8" t="n"/>
      <c r="E47" s="8" t="n"/>
      <c r="F47" s="8" t="n"/>
      <c r="G47" s="8" t="n"/>
      <c r="H47" s="8" t="n"/>
      <c r="I47" s="8" t="n"/>
      <c r="J47" s="8" t="n"/>
      <c r="K47" s="8" t="n"/>
      <c r="L47" s="8" t="n"/>
      <c r="M47" s="8" t="n"/>
      <c r="N47" s="8" t="n"/>
      <c r="O47" s="8" t="n"/>
    </row>
    <row r="48" ht="44" customHeight="1">
      <c r="A48" s="9" t="inlineStr">
        <is>
          <t>To Buy</t>
        </is>
      </c>
      <c r="B48" s="9" t="inlineStr">
        <is>
          <t>E1</t>
        </is>
      </c>
      <c r="C48" s="10" t="inlineStr">
        <is>
          <t>GX16 4-Pin Aviation Connectors (M+F Sets)</t>
        </is>
      </c>
      <c r="D48" s="11" t="inlineStr">
        <is>
          <t>Connectors &amp; Wiring</t>
        </is>
      </c>
      <c r="E48" s="12" t="inlineStr">
        <is>
          <t>16mm metal chassis socket + cable plug, screw-locking, 5A rated.</t>
        </is>
      </c>
      <c r="F48" s="13" t="n">
        <v>6</v>
      </c>
      <c r="G48" s="14" t="inlineStr">
        <is>
          <t>sets</t>
        </is>
      </c>
      <c r="H48" s="15" t="n">
        <v>50</v>
      </c>
      <c r="I48" s="15" t="n">
        <v>100</v>
      </c>
      <c r="J48" s="16">
        <f>F48*H48</f>
        <v/>
      </c>
      <c r="K48" s="16">
        <f>F48*I48</f>
        <v/>
      </c>
      <c r="L48" s="16" t="n"/>
      <c r="M48" s="12" t="inlineStr">
        <is>
          <t>Shopee / Lazada</t>
        </is>
      </c>
      <c r="N48" s="17" t="inlineStr">
        <is>
          <t>GX16 4 pin aviation connector male female</t>
        </is>
      </c>
      <c r="O48" s="12" t="inlineStr">
        <is>
          <t>Detachable ports: Exhaust, Intake, Mister, Light, Probe, Flow.</t>
        </is>
      </c>
    </row>
    <row r="49" ht="44" customHeight="1">
      <c r="A49" s="18" t="inlineStr">
        <is>
          <t>To Buy</t>
        </is>
      </c>
      <c r="B49" s="18" t="inlineStr">
        <is>
          <t>E2</t>
        </is>
      </c>
      <c r="C49" s="19" t="inlineStr">
        <is>
          <t>4-Core Shielded Cable (22AWG, 3 Meters)</t>
        </is>
      </c>
      <c r="D49" s="20" t="inlineStr">
        <is>
          <t>Connectors &amp; Wiring</t>
        </is>
      </c>
      <c r="E49" s="21" t="inlineStr">
        <is>
          <t>4 stranded copper cores + aluminum foil shield + drain wire, flexible PVC.</t>
        </is>
      </c>
      <c r="F49" s="22" t="n">
        <v>1</v>
      </c>
      <c r="G49" s="23" t="inlineStr">
        <is>
          <t>roll (3m)</t>
        </is>
      </c>
      <c r="H49" s="24" t="n">
        <v>100</v>
      </c>
      <c r="I49" s="24" t="n">
        <v>180</v>
      </c>
      <c r="J49" s="25">
        <f>F49*H49</f>
        <v/>
      </c>
      <c r="K49" s="25">
        <f>F49*I49</f>
        <v/>
      </c>
      <c r="L49" s="25" t="n"/>
      <c r="M49" s="21" t="inlineStr">
        <is>
          <t>Shopee / Lazada</t>
        </is>
      </c>
      <c r="N49" s="26" t="inlineStr">
        <is>
          <t>4 core shielded cable 22AWG signal wire</t>
        </is>
      </c>
      <c r="O49" s="21" t="inlineStr">
        <is>
          <t>Controller to probe umbilical. Shielding stops I2C noise.</t>
        </is>
      </c>
    </row>
    <row r="50" ht="44" customHeight="1">
      <c r="A50" s="9" t="inlineStr">
        <is>
          <t>To Buy</t>
        </is>
      </c>
      <c r="B50" s="9" t="inlineStr">
        <is>
          <t>E3</t>
        </is>
      </c>
      <c r="C50" s="10" t="inlineStr">
        <is>
          <t>18 AWG Silicone Stranded Wire (Red + Black)</t>
        </is>
      </c>
      <c r="D50" s="11" t="inlineStr">
        <is>
          <t>Connectors &amp; Wiring</t>
        </is>
      </c>
      <c r="E50" s="12" t="inlineStr">
        <is>
          <t>High-temp (200°C) flexible tinned copper silicone wire (5m red, 5m black).</t>
        </is>
      </c>
      <c r="F50" s="13" t="n">
        <v>2</v>
      </c>
      <c r="G50" s="14" t="inlineStr">
        <is>
          <t>rolls</t>
        </is>
      </c>
      <c r="H50" s="15" t="n">
        <v>40</v>
      </c>
      <c r="I50" s="15" t="n">
        <v>60</v>
      </c>
      <c r="J50" s="16">
        <f>F50*H50</f>
        <v/>
      </c>
      <c r="K50" s="16">
        <f>F50*I50</f>
        <v/>
      </c>
      <c r="L50" s="16" t="n"/>
      <c r="M50" s="12" t="inlineStr">
        <is>
          <t>Shopee / Lazada</t>
        </is>
      </c>
      <c r="N50" s="17" t="inlineStr">
        <is>
          <t>18 AWG silicone wire red black 5m</t>
        </is>
      </c>
      <c r="O50" s="12" t="inlineStr">
        <is>
          <t>Main 12V high-current distribution inside cabinet.</t>
        </is>
      </c>
    </row>
    <row r="51" ht="44" customHeight="1">
      <c r="A51" s="18" t="inlineStr">
        <is>
          <t>To Buy</t>
        </is>
      </c>
      <c r="B51" s="18" t="inlineStr">
        <is>
          <t>E4</t>
        </is>
      </c>
      <c r="C51" s="19" t="inlineStr">
        <is>
          <t>22 AWG Hookup Wire Assorted (6 Colors, 5m)</t>
        </is>
      </c>
      <c r="D51" s="20" t="inlineStr">
        <is>
          <t>Connectors &amp; Wiring</t>
        </is>
      </c>
      <c r="E51" s="21" t="inlineStr">
        <is>
          <t>PVC insulated tinned copper wire in 6 distinct colors.</t>
        </is>
      </c>
      <c r="F51" s="22" t="n">
        <v>1</v>
      </c>
      <c r="G51" s="23" t="inlineStr">
        <is>
          <t>set</t>
        </is>
      </c>
      <c r="H51" s="24" t="n">
        <v>60</v>
      </c>
      <c r="I51" s="24" t="n">
        <v>100</v>
      </c>
      <c r="J51" s="25">
        <f>F51*H51</f>
        <v/>
      </c>
      <c r="K51" s="25">
        <f>F51*I51</f>
        <v/>
      </c>
      <c r="L51" s="25" t="n"/>
      <c r="M51" s="21" t="inlineStr">
        <is>
          <t>Shopee / Electronics Store</t>
        </is>
      </c>
      <c r="N51" s="26" t="inlineStr">
        <is>
          <t>22 AWG hookup wire kit assorted colors</t>
        </is>
      </c>
      <c r="O51" s="21" t="inlineStr">
        <is>
          <t>Internal signal wiring: ESP32 to shifters, display, LEDs.</t>
        </is>
      </c>
    </row>
    <row r="52" ht="44" customHeight="1">
      <c r="A52" s="9" t="inlineStr">
        <is>
          <t>To Buy</t>
        </is>
      </c>
      <c r="B52" s="9" t="inlineStr">
        <is>
          <t>E5</t>
        </is>
      </c>
      <c r="C52" s="10" t="inlineStr">
        <is>
          <t>Dupont Jumper Wires (40-Pin, 20cm, Assorted)</t>
        </is>
      </c>
      <c r="D52" s="11" t="inlineStr">
        <is>
          <t>Connectors &amp; Wiring</t>
        </is>
      </c>
      <c r="E52" s="12" t="inlineStr">
        <is>
          <t>Multicolored breadboard jumpers (M-M, M-F, F-F).</t>
        </is>
      </c>
      <c r="F52" s="13" t="n">
        <v>3</v>
      </c>
      <c r="G52" s="14" t="inlineStr">
        <is>
          <t>sets</t>
        </is>
      </c>
      <c r="H52" s="15" t="n">
        <v>30</v>
      </c>
      <c r="I52" s="15" t="n">
        <v>50</v>
      </c>
      <c r="J52" s="16">
        <f>F52*H52</f>
        <v/>
      </c>
      <c r="K52" s="16">
        <f>F52*I52</f>
        <v/>
      </c>
      <c r="L52" s="16" t="n"/>
      <c r="M52" s="12" t="inlineStr">
        <is>
          <t>Shopee / Lazada</t>
        </is>
      </c>
      <c r="N52" s="17" t="inlineStr">
        <is>
          <t>Dupont wire 20cm 40 pin M-M M-F F-F</t>
        </is>
      </c>
      <c r="O52" s="12" t="inlineStr">
        <is>
          <t>Bench prototyping and test jumpers.</t>
        </is>
      </c>
    </row>
    <row r="53" ht="44" customHeight="1">
      <c r="A53" s="18" t="inlineStr">
        <is>
          <t>To Buy</t>
        </is>
      </c>
      <c r="B53" s="18" t="inlineStr">
        <is>
          <t>E6</t>
        </is>
      </c>
      <c r="C53" s="19" t="inlineStr">
        <is>
          <t>IP68 Nylon Cable Glands (PG9 / PG11)</t>
        </is>
      </c>
      <c r="D53" s="20" t="inlineStr">
        <is>
          <t>Connectors &amp; Wiring</t>
        </is>
      </c>
      <c r="E53" s="21" t="inlineStr">
        <is>
          <t>Weatherproof cable entry glands with rubber sealing washers &amp; locknuts.</t>
        </is>
      </c>
      <c r="F53" s="22" t="n">
        <v>6</v>
      </c>
      <c r="G53" s="23" t="inlineStr">
        <is>
          <t>pcs</t>
        </is>
      </c>
      <c r="H53" s="24" t="n">
        <v>15</v>
      </c>
      <c r="I53" s="24" t="n">
        <v>30</v>
      </c>
      <c r="J53" s="25">
        <f>F53*H53</f>
        <v/>
      </c>
      <c r="K53" s="25">
        <f>F53*I53</f>
        <v/>
      </c>
      <c r="L53" s="25" t="n"/>
      <c r="M53" s="21" t="inlineStr">
        <is>
          <t>Shopee / Hardware Store</t>
        </is>
      </c>
      <c r="N53" s="26" t="inlineStr">
        <is>
          <t>PG9 PG11 cable gland IP68 nylon</t>
        </is>
      </c>
      <c r="O53" s="21" t="inlineStr">
        <is>
          <t>Watertight cable pass-throughs into enclosure.</t>
        </is>
      </c>
    </row>
    <row r="54" ht="44" customHeight="1">
      <c r="A54" s="9" t="inlineStr">
        <is>
          <t>To Buy</t>
        </is>
      </c>
      <c r="B54" s="9" t="inlineStr">
        <is>
          <t>E7</t>
        </is>
      </c>
      <c r="C54" s="10" t="inlineStr">
        <is>
          <t>Heat Shrink Tubing Kit (120+ pcs Assorted)</t>
        </is>
      </c>
      <c r="D54" s="11" t="inlineStr">
        <is>
          <t>Connectors &amp; Wiring</t>
        </is>
      </c>
      <c r="E54" s="12" t="inlineStr">
        <is>
          <t>Polyolefin 2:1 shrink tubing in assorted diameters (1.5mm-10mm).</t>
        </is>
      </c>
      <c r="F54" s="13" t="n">
        <v>1</v>
      </c>
      <c r="G54" s="14" t="inlineStr">
        <is>
          <t>kit</t>
        </is>
      </c>
      <c r="H54" s="15" t="n">
        <v>60</v>
      </c>
      <c r="I54" s="15" t="n">
        <v>100</v>
      </c>
      <c r="J54" s="16">
        <f>F54*H54</f>
        <v/>
      </c>
      <c r="K54" s="16">
        <f>F54*I54</f>
        <v/>
      </c>
      <c r="L54" s="16" t="n"/>
      <c r="M54" s="12" t="inlineStr">
        <is>
          <t>Shopee / Lazada</t>
        </is>
      </c>
      <c r="N54" s="17" t="inlineStr">
        <is>
          <t>Heat shrink tubing kit assorted sizes</t>
        </is>
      </c>
      <c r="O54" s="12" t="inlineStr">
        <is>
          <t>Insulates aviation pins, splice joints, and LED legs.</t>
        </is>
      </c>
    </row>
    <row r="55" ht="44" customHeight="1">
      <c r="A55" s="18" t="inlineStr">
        <is>
          <t>To Buy</t>
        </is>
      </c>
      <c r="B55" s="18" t="inlineStr">
        <is>
          <t>E8</t>
        </is>
      </c>
      <c r="C55" s="19" t="inlineStr">
        <is>
          <t>JST-XH 2.54mm Connector Kit (2P, 3P, 4P)</t>
        </is>
      </c>
      <c r="D55" s="20" t="inlineStr">
        <is>
          <t>Connectors &amp; Wiring</t>
        </is>
      </c>
      <c r="E55" s="21" t="inlineStr">
        <is>
          <t>Male PCB headers + female crimp housings + pins in organizer box.</t>
        </is>
      </c>
      <c r="F55" s="22" t="n">
        <v>1</v>
      </c>
      <c r="G55" s="23" t="inlineStr">
        <is>
          <t>kit</t>
        </is>
      </c>
      <c r="H55" s="24" t="n">
        <v>50</v>
      </c>
      <c r="I55" s="24" t="n">
        <v>80</v>
      </c>
      <c r="J55" s="25">
        <f>F55*H55</f>
        <v/>
      </c>
      <c r="K55" s="25">
        <f>F55*I55</f>
        <v/>
      </c>
      <c r="L55" s="25" t="n"/>
      <c r="M55" s="21" t="inlineStr">
        <is>
          <t>Shopee / Lazada</t>
        </is>
      </c>
      <c r="N55" s="26" t="inlineStr">
        <is>
          <t>JST-XH 2.54mm connector kit with crimp pins</t>
        </is>
      </c>
      <c r="O55" s="21" t="inlineStr">
        <is>
          <t>Modular disconnects for sensors &amp; display modules.</t>
        </is>
      </c>
    </row>
    <row r="56" ht="44" customHeight="1">
      <c r="A56" s="9" t="inlineStr">
        <is>
          <t>To Buy</t>
        </is>
      </c>
      <c r="B56" s="9" t="inlineStr">
        <is>
          <t>E9</t>
        </is>
      </c>
      <c r="C56" s="10" t="inlineStr">
        <is>
          <t>40-Pin 2.54mm Female Header Strips</t>
        </is>
      </c>
      <c r="D56" s="11" t="inlineStr">
        <is>
          <t>Connectors &amp; Wiring</t>
        </is>
      </c>
      <c r="E56" s="12" t="inlineStr">
        <is>
          <t>Gold-plated through-hole female socket strips.</t>
        </is>
      </c>
      <c r="F56" s="13" t="n">
        <v>2</v>
      </c>
      <c r="G56" s="14" t="inlineStr">
        <is>
          <t>pcs</t>
        </is>
      </c>
      <c r="H56" s="15" t="n">
        <v>15</v>
      </c>
      <c r="I56" s="15" t="n">
        <v>20</v>
      </c>
      <c r="J56" s="16">
        <f>F56*H56</f>
        <v/>
      </c>
      <c r="K56" s="16">
        <f>F56*I56</f>
        <v/>
      </c>
      <c r="L56" s="16" t="n"/>
      <c r="M56" s="12" t="inlineStr">
        <is>
          <t>Shopee / Electronics Store</t>
        </is>
      </c>
      <c r="N56" s="17" t="inlineStr">
        <is>
          <t>40 pin 2.54mm female header socket strip</t>
        </is>
      </c>
      <c r="O56" s="12" t="inlineStr">
        <is>
          <t>Sockets for ESP32 DevKit so MCU is pluggable/swappable.</t>
        </is>
      </c>
    </row>
    <row r="57" ht="44" customHeight="1">
      <c r="A57" s="18" t="inlineStr">
        <is>
          <t>To Buy</t>
        </is>
      </c>
      <c r="B57" s="18" t="inlineStr">
        <is>
          <t>E10</t>
        </is>
      </c>
      <c r="C57" s="19" t="inlineStr">
        <is>
          <t>Rosin Core Solder Wire (60/40, 0.8mm, 50g)</t>
        </is>
      </c>
      <c r="D57" s="20" t="inlineStr">
        <is>
          <t>Connectors &amp; Wiring</t>
        </is>
      </c>
      <c r="E57" s="21" t="inlineStr">
        <is>
          <t>High purity 60% tin / 40% lead with 2.2% rosin flux core.</t>
        </is>
      </c>
      <c r="F57" s="22" t="n">
        <v>1</v>
      </c>
      <c r="G57" s="23" t="inlineStr">
        <is>
          <t>roll</t>
        </is>
      </c>
      <c r="H57" s="24" t="n">
        <v>50</v>
      </c>
      <c r="I57" s="24" t="n">
        <v>80</v>
      </c>
      <c r="J57" s="25">
        <f>F57*H57</f>
        <v/>
      </c>
      <c r="K57" s="25">
        <f>F57*I57</f>
        <v/>
      </c>
      <c r="L57" s="25" t="n"/>
      <c r="M57" s="21" t="inlineStr">
        <is>
          <t>Shopee / Hardware Store</t>
        </is>
      </c>
      <c r="N57" s="26" t="inlineStr">
        <is>
          <t>Solder wire 60/40 0.8mm rosin core 50g</t>
        </is>
      </c>
      <c r="O57" s="21" t="inlineStr">
        <is>
          <t>Permanent soldering of boards, diodes, and aviation plugs.</t>
        </is>
      </c>
    </row>
    <row r="58" ht="34" customHeight="1">
      <c r="A58" s="27" t="inlineStr">
        <is>
          <t>Subtotal — Category E (Connectors &amp; Wiring):</t>
        </is>
      </c>
      <c r="B58" s="28" t="n"/>
      <c r="C58" s="28" t="n"/>
      <c r="D58" s="28" t="n"/>
      <c r="E58" s="28" t="n"/>
      <c r="F58" s="28" t="n"/>
      <c r="G58" s="28" t="n"/>
      <c r="H58" s="28" t="n"/>
      <c r="I58" s="28" t="n"/>
      <c r="J58" s="29">
        <f>SUM(J48:J57)</f>
        <v/>
      </c>
      <c r="K58" s="29">
        <f>SUM(K48:K57)</f>
        <v/>
      </c>
      <c r="L58" s="29">
        <f>SUM(L48:L57)</f>
        <v/>
      </c>
      <c r="M58" s="28" t="n"/>
      <c r="N58" s="28" t="n"/>
      <c r="O58" s="28" t="n"/>
    </row>
    <row r="59" ht="34" customHeight="1">
      <c r="A59" s="7" t="inlineStr">
        <is>
          <t>🌀 CATEGORY F: ACTUATORS (THE THINGS BEING CONTROLLED)</t>
        </is>
      </c>
      <c r="B59" s="8" t="n"/>
      <c r="C59" s="8" t="n"/>
      <c r="D59" s="8" t="n"/>
      <c r="E59" s="8" t="n"/>
      <c r="F59" s="8" t="n"/>
      <c r="G59" s="8" t="n"/>
      <c r="H59" s="8" t="n"/>
      <c r="I59" s="8" t="n"/>
      <c r="J59" s="8" t="n"/>
      <c r="K59" s="8" t="n"/>
      <c r="L59" s="8" t="n"/>
      <c r="M59" s="8" t="n"/>
      <c r="N59" s="8" t="n"/>
      <c r="O59" s="8" t="n"/>
    </row>
    <row r="60" ht="44" customHeight="1">
      <c r="A60" s="9" t="inlineStr">
        <is>
          <t>To Buy</t>
        </is>
      </c>
      <c r="B60" s="9" t="inlineStr">
        <is>
          <t>F1</t>
        </is>
      </c>
      <c r="C60" s="10" t="inlineStr">
        <is>
          <t>12V DC Exhaust Fan (120mm / 4-Inch)</t>
        </is>
      </c>
      <c r="D60" s="11" t="inlineStr">
        <is>
          <t>Actuators</t>
        </is>
      </c>
      <c r="E60" s="12" t="inlineStr">
        <is>
          <t>120×120×25mm, 12V DC, ball bearing, moisture-resistant, &gt;70 CFM.</t>
        </is>
      </c>
      <c r="F60" s="13" t="n">
        <v>1</v>
      </c>
      <c r="G60" s="14" t="inlineStr">
        <is>
          <t>pc</t>
        </is>
      </c>
      <c r="H60" s="15" t="n">
        <v>180</v>
      </c>
      <c r="I60" s="15" t="n">
        <v>400</v>
      </c>
      <c r="J60" s="16">
        <f>F60*H60</f>
        <v/>
      </c>
      <c r="K60" s="16">
        <f>F60*I60</f>
        <v/>
      </c>
      <c r="L60" s="16" t="n"/>
      <c r="M60" s="12" t="inlineStr">
        <is>
          <t>Shopee / Lazada</t>
        </is>
      </c>
      <c r="N60" s="17" t="inlineStr">
        <is>
          <t>12V 120mm cooling fan ball bearing high airflow</t>
        </is>
      </c>
      <c r="O60" s="12" t="inlineStr">
        <is>
          <t>Extracts stale CO2 and heat from grow room ceiling.</t>
        </is>
      </c>
    </row>
    <row r="61" ht="44" customHeight="1">
      <c r="A61" s="18" t="inlineStr">
        <is>
          <t>To Buy</t>
        </is>
      </c>
      <c r="B61" s="18" t="inlineStr">
        <is>
          <t>F2</t>
        </is>
      </c>
      <c r="C61" s="19" t="inlineStr">
        <is>
          <t>12V DC Circulation / Intake Fan (80-120mm)</t>
        </is>
      </c>
      <c r="D61" s="20" t="inlineStr">
        <is>
          <t>Actuators</t>
        </is>
      </c>
      <c r="E61" s="21" t="inlineStr">
        <is>
          <t>12V DC, brushless, 0.2A, low noise with finger protection grill.</t>
        </is>
      </c>
      <c r="F61" s="22" t="n">
        <v>1</v>
      </c>
      <c r="G61" s="23" t="inlineStr">
        <is>
          <t>pc</t>
        </is>
      </c>
      <c r="H61" s="24" t="n">
        <v>130</v>
      </c>
      <c r="I61" s="24" t="n">
        <v>300</v>
      </c>
      <c r="J61" s="25">
        <f>F61*H61</f>
        <v/>
      </c>
      <c r="K61" s="25">
        <f>F61*I61</f>
        <v/>
      </c>
      <c r="L61" s="25" t="n"/>
      <c r="M61" s="21" t="inlineStr">
        <is>
          <t>Shopee / Lazada</t>
        </is>
      </c>
      <c r="N61" s="26" t="inlineStr">
        <is>
          <t>12V DC brushless fan 80mm or 120mm with grill</t>
        </is>
      </c>
      <c r="O61" s="21" t="inlineStr">
        <is>
          <t>Draws in fresh filtered air &amp; circulates humidity.</t>
        </is>
      </c>
    </row>
    <row r="62" ht="44" customHeight="1">
      <c r="A62" s="9" t="inlineStr">
        <is>
          <t>To Buy</t>
        </is>
      </c>
      <c r="B62" s="9" t="inlineStr">
        <is>
          <t>F3</t>
        </is>
      </c>
      <c r="C62" s="10" t="inlineStr">
        <is>
          <t>12V DC High-Pressure Misting Pump (60W)</t>
        </is>
      </c>
      <c r="D62" s="11" t="inlineStr">
        <is>
          <t>Actuators</t>
        </is>
      </c>
      <c r="E62" s="12" t="inlineStr">
        <is>
          <t>Self-priming diaphragm pump, 4-5 L/min, 0.8 MPa (115 PSI), auto pressure switch.</t>
        </is>
      </c>
      <c r="F62" s="13" t="n">
        <v>1</v>
      </c>
      <c r="G62" s="14" t="inlineStr">
        <is>
          <t>pc</t>
        </is>
      </c>
      <c r="H62" s="15" t="n">
        <v>350</v>
      </c>
      <c r="I62" s="15" t="n">
        <v>800</v>
      </c>
      <c r="J62" s="16">
        <f>F62*H62</f>
        <v/>
      </c>
      <c r="K62" s="16">
        <f>F62*I62</f>
        <v/>
      </c>
      <c r="L62" s="16" t="n"/>
      <c r="M62" s="12" t="inlineStr">
        <is>
          <t>Shopee / Lazada</t>
        </is>
      </c>
      <c r="N62" s="17" t="inlineStr">
        <is>
          <t>12V diaphragm pump misting 60W high pressure</t>
        </is>
      </c>
      <c r="O62" s="12" t="inlineStr">
        <is>
          <t>Atomizes water into ultra-fine fog without wetting beds.</t>
        </is>
      </c>
    </row>
    <row r="63" ht="44" customHeight="1">
      <c r="A63" s="18" t="inlineStr">
        <is>
          <t>To Buy</t>
        </is>
      </c>
      <c r="B63" s="18" t="inlineStr">
        <is>
          <t>F4</t>
        </is>
      </c>
      <c r="C63" s="19" t="inlineStr">
        <is>
          <t>Brass Misting Nozzles (0.3mm Orifice)</t>
        </is>
      </c>
      <c r="D63" s="20" t="inlineStr">
        <is>
          <t>Actuators</t>
        </is>
      </c>
      <c r="E63" s="21" t="inlineStr">
        <is>
          <t>Solid brass with stainless orifice, anti-drip spring, 20-70 bar rating.</t>
        </is>
      </c>
      <c r="F63" s="22" t="n">
        <v>5</v>
      </c>
      <c r="G63" s="23" t="inlineStr">
        <is>
          <t>pcs</t>
        </is>
      </c>
      <c r="H63" s="24" t="n">
        <v>15</v>
      </c>
      <c r="I63" s="24" t="n">
        <v>30</v>
      </c>
      <c r="J63" s="25">
        <f>F63*H63</f>
        <v/>
      </c>
      <c r="K63" s="25">
        <f>F63*I63</f>
        <v/>
      </c>
      <c r="L63" s="25" t="n"/>
      <c r="M63" s="21" t="inlineStr">
        <is>
          <t>Shopee / Lazada / Hardware</t>
        </is>
      </c>
      <c r="N63" s="26" t="inlineStr">
        <is>
          <t>0.3mm brass misting nozzle anti drip</t>
        </is>
      </c>
      <c r="O63" s="21" t="inlineStr">
        <is>
          <t>Overhead spray nozzles creating 15-30 micron fog.</t>
        </is>
      </c>
    </row>
    <row r="64" ht="44" customHeight="1">
      <c r="A64" s="9" t="inlineStr">
        <is>
          <t>To Buy</t>
        </is>
      </c>
      <c r="B64" s="9" t="inlineStr">
        <is>
          <t>F5</t>
        </is>
      </c>
      <c r="C64" s="10" t="inlineStr">
        <is>
          <t>Misting Tubing Kit (6mm PE Tubing 5m + Tees)</t>
        </is>
      </c>
      <c r="D64" s="11" t="inlineStr">
        <is>
          <t>Actuators</t>
        </is>
      </c>
      <c r="E64" s="12" t="inlineStr">
        <is>
          <t>5m 1/4" (6mm) PE tubing + 5 slip-lock tee fittings + 1 end plug.</t>
        </is>
      </c>
      <c r="F64" s="13" t="n">
        <v>1</v>
      </c>
      <c r="G64" s="14" t="inlineStr">
        <is>
          <t>kit</t>
        </is>
      </c>
      <c r="H64" s="15" t="n">
        <v>150</v>
      </c>
      <c r="I64" s="15" t="n">
        <v>350</v>
      </c>
      <c r="J64" s="16">
        <f>F64*H64</f>
        <v/>
      </c>
      <c r="K64" s="16">
        <f>F64*I64</f>
        <v/>
      </c>
      <c r="L64" s="16" t="n"/>
      <c r="M64" s="12" t="inlineStr">
        <is>
          <t>Shopee / Lazada</t>
        </is>
      </c>
      <c r="N64" s="17" t="inlineStr">
        <is>
          <t>Misting system kit 6mm PE pipe slip lock fittings</t>
        </is>
      </c>
      <c r="O64" s="12" t="inlineStr">
        <is>
          <t>Overhead pipe manifold connecting pump to brass nozzles.</t>
        </is>
      </c>
    </row>
    <row r="65" ht="44" customHeight="1">
      <c r="A65" s="18" t="inlineStr">
        <is>
          <t>To Buy</t>
        </is>
      </c>
      <c r="B65" s="18" t="inlineStr">
        <is>
          <t>F6</t>
        </is>
      </c>
      <c r="C65" s="19" t="inlineStr">
        <is>
          <t>12V DC Solenoid Valve (1/2" NC)</t>
        </is>
      </c>
      <c r="D65" s="20" t="inlineStr">
        <is>
          <t>Actuators</t>
        </is>
      </c>
      <c r="E65" s="21" t="inlineStr">
        <is>
          <t>Direct-acting 12V DC valve, normally closed (NC), brass or nylon body.</t>
        </is>
      </c>
      <c r="F65" s="22" t="n">
        <v>1</v>
      </c>
      <c r="G65" s="23" t="inlineStr">
        <is>
          <t>pc</t>
        </is>
      </c>
      <c r="H65" s="24" t="n">
        <v>250</v>
      </c>
      <c r="I65" s="24" t="n">
        <v>450</v>
      </c>
      <c r="J65" s="25">
        <f>F65*H65</f>
        <v/>
      </c>
      <c r="K65" s="25">
        <f>F65*I65</f>
        <v/>
      </c>
      <c r="L65" s="25" t="n"/>
      <c r="M65" s="21" t="inlineStr">
        <is>
          <t>Shopee / Lazada / Makerlab PH</t>
        </is>
      </c>
      <c r="N65" s="26" t="inlineStr">
        <is>
          <t>12V DC electric solenoid valve 1/2 inch normally closed</t>
        </is>
      </c>
      <c r="O65" s="21" t="inlineStr">
        <is>
          <t>Primary water shutoff. Shuts closed if power fails.</t>
        </is>
      </c>
    </row>
    <row r="66" ht="44" customHeight="1">
      <c r="A66" s="9" t="inlineStr">
        <is>
          <t>To Buy</t>
        </is>
      </c>
      <c r="B66" s="9" t="inlineStr">
        <is>
          <t>F7</t>
        </is>
      </c>
      <c r="C66" s="10" t="inlineStr">
        <is>
          <t>Push-Fit Water Fittings (1/2" Male to 6mm)</t>
        </is>
      </c>
      <c r="D66" s="11" t="inlineStr">
        <is>
          <t>Actuators</t>
        </is>
      </c>
      <c r="E66" s="12" t="inlineStr">
        <is>
          <t>Food-grade POM push-fit adapter, 1/2" BSP thread to 1/4" (6mm) OD tube.</t>
        </is>
      </c>
      <c r="F66" s="13" t="n">
        <v>2</v>
      </c>
      <c r="G66" s="14" t="inlineStr">
        <is>
          <t>pcs</t>
        </is>
      </c>
      <c r="H66" s="15" t="n">
        <v>30</v>
      </c>
      <c r="I66" s="15" t="n">
        <v>60</v>
      </c>
      <c r="J66" s="16">
        <f>F66*H66</f>
        <v/>
      </c>
      <c r="K66" s="16">
        <f>F66*I66</f>
        <v/>
      </c>
      <c r="L66" s="16" t="n"/>
      <c r="M66" s="12" t="inlineStr">
        <is>
          <t>Hardware Store / Shopee</t>
        </is>
      </c>
      <c r="N66" s="17" t="inlineStr">
        <is>
          <t>Quick connect fitting 1/2 male thread to 1/4 6mm tube</t>
        </is>
      </c>
      <c r="O66" s="12" t="inlineStr">
        <is>
          <t>Leak-free transition from solenoid/pump to PE misting tube.</t>
        </is>
      </c>
    </row>
    <row r="67" ht="44" customHeight="1">
      <c r="A67" s="18" t="inlineStr">
        <is>
          <t>To Buy</t>
        </is>
      </c>
      <c r="B67" s="18" t="inlineStr">
        <is>
          <t>F8</t>
        </is>
      </c>
      <c r="C67" s="19" t="inlineStr">
        <is>
          <t>12V Full-Spectrum LED Grow Light Strip (1m)</t>
        </is>
      </c>
      <c r="D67" s="20" t="inlineStr">
        <is>
          <t>Actuators</t>
        </is>
      </c>
      <c r="E67" s="21" t="inlineStr">
        <is>
          <t>12V SMD5050, 4:1 Red:Blue + White spectrum, IP65 waterproof silicone jacket.</t>
        </is>
      </c>
      <c r="F67" s="22" t="n">
        <v>1</v>
      </c>
      <c r="G67" s="23" t="inlineStr">
        <is>
          <t>strip</t>
        </is>
      </c>
      <c r="H67" s="24" t="n">
        <v>300</v>
      </c>
      <c r="I67" s="24" t="n">
        <v>800</v>
      </c>
      <c r="J67" s="25">
        <f>F67*H67</f>
        <v/>
      </c>
      <c r="K67" s="25">
        <f>F67*I67</f>
        <v/>
      </c>
      <c r="L67" s="25" t="n"/>
      <c r="M67" s="21" t="inlineStr">
        <is>
          <t>Shopee / Lazada</t>
        </is>
      </c>
      <c r="N67" s="26" t="inlineStr">
        <is>
          <t>12V full spectrum LED grow light strip waterproof IP65</t>
        </is>
      </c>
      <c r="O67" s="21" t="inlineStr">
        <is>
          <t>Stimulates oyster mushroom pinhead &amp; cap formation.</t>
        </is>
      </c>
    </row>
    <row r="68" ht="44" customHeight="1">
      <c r="A68" s="9" t="inlineStr">
        <is>
          <t>To Buy</t>
        </is>
      </c>
      <c r="B68" s="9" t="inlineStr">
        <is>
          <t>F9</t>
        </is>
      </c>
      <c r="C68" s="10" t="inlineStr">
        <is>
          <t>Water Reservoir Container (5-10 Liters)</t>
        </is>
      </c>
      <c r="D68" s="11" t="inlineStr">
        <is>
          <t>Actuators</t>
        </is>
      </c>
      <c r="E68" s="12" t="inlineStr">
        <is>
          <t>Heavy-duty translucent HDPE plastic container with tight lid &amp; drain port.</t>
        </is>
      </c>
      <c r="F68" s="13" t="n">
        <v>1</v>
      </c>
      <c r="G68" s="14" t="inlineStr">
        <is>
          <t>pc</t>
        </is>
      </c>
      <c r="H68" s="15" t="n">
        <v>80</v>
      </c>
      <c r="I68" s="15" t="n">
        <v>200</v>
      </c>
      <c r="J68" s="16">
        <f>F68*H68</f>
        <v/>
      </c>
      <c r="K68" s="16">
        <f>F68*I68</f>
        <v/>
      </c>
      <c r="L68" s="16" t="n"/>
      <c r="M68" s="12" t="inlineStr">
        <is>
          <t>Hardware Store / Grocery</t>
        </is>
      </c>
      <c r="N68" s="17" t="inlineStr">
        <is>
          <t>Plastic container with lid 10L translucent</t>
        </is>
      </c>
      <c r="O68" s="12" t="inlineStr">
        <is>
          <t>Dedicated clean water supply; holds capacitive level sensor.</t>
        </is>
      </c>
    </row>
    <row r="69" ht="44" customHeight="1">
      <c r="A69" s="18" t="inlineStr">
        <is>
          <t>To Buy</t>
        </is>
      </c>
      <c r="B69" s="18" t="inlineStr">
        <is>
          <t>F10</t>
        </is>
      </c>
      <c r="C69" s="19" t="inlineStr">
        <is>
          <t>PTFE Thread Seal Teflon Tape (1/2" × 10m)</t>
        </is>
      </c>
      <c r="D69" s="20" t="inlineStr">
        <is>
          <t>Actuators</t>
        </is>
      </c>
      <c r="E69" s="21" t="inlineStr">
        <is>
          <t>Standard density PTFE sealant tape for plumbing connections.</t>
        </is>
      </c>
      <c r="F69" s="22" t="n">
        <v>1</v>
      </c>
      <c r="G69" s="23" t="inlineStr">
        <is>
          <t>roll</t>
        </is>
      </c>
      <c r="H69" s="24" t="n">
        <v>25</v>
      </c>
      <c r="I69" s="24" t="n">
        <v>30</v>
      </c>
      <c r="J69" s="25">
        <f>F69*H69</f>
        <v/>
      </c>
      <c r="K69" s="25">
        <f>F69*I69</f>
        <v/>
      </c>
      <c r="L69" s="25" t="n"/>
      <c r="M69" s="21" t="inlineStr">
        <is>
          <t>Any Hardware Store</t>
        </is>
      </c>
      <c r="N69" s="26" t="inlineStr">
        <is>
          <t>Teflon tape 1/2 inch</t>
        </is>
      </c>
      <c r="O69" s="21" t="inlineStr">
        <is>
          <t>Guarantees zero leaks on all threaded water joints.</t>
        </is>
      </c>
    </row>
    <row r="70" ht="44" customHeight="1">
      <c r="A70" s="9" t="inlineStr">
        <is>
          <t>To Buy</t>
        </is>
      </c>
      <c r="B70" s="9" t="inlineStr">
        <is>
          <t>F11</t>
        </is>
      </c>
      <c r="C70" s="10" t="inlineStr">
        <is>
          <t>Stainless Hose Clamps (10-16mm, SS304)</t>
        </is>
      </c>
      <c r="D70" s="11" t="inlineStr">
        <is>
          <t>Actuators</t>
        </is>
      </c>
      <c r="E70" s="12" t="inlineStr">
        <is>
          <t>304 stainless steel band &amp; screw, rustproof in 95% humidity.</t>
        </is>
      </c>
      <c r="F70" s="13" t="n">
        <v>4</v>
      </c>
      <c r="G70" s="14" t="inlineStr">
        <is>
          <t>pcs</t>
        </is>
      </c>
      <c r="H70" s="15" t="n">
        <v>10</v>
      </c>
      <c r="I70" s="15" t="n">
        <v>15</v>
      </c>
      <c r="J70" s="16">
        <f>F70*H70</f>
        <v/>
      </c>
      <c r="K70" s="16">
        <f>F70*I70</f>
        <v/>
      </c>
      <c r="L70" s="16" t="n"/>
      <c r="M70" s="12" t="inlineStr">
        <is>
          <t>Hardware Store</t>
        </is>
      </c>
      <c r="N70" s="17" t="inlineStr">
        <is>
          <t>Stainless hose clamps 10-16mm</t>
        </is>
      </c>
      <c r="O70" s="12" t="inlineStr">
        <is>
          <t>Secures intake/discharge hoses to pump barbs under pressure.</t>
        </is>
      </c>
    </row>
    <row r="71" ht="44" customHeight="1">
      <c r="A71" s="18" t="inlineStr">
        <is>
          <t>To Buy</t>
        </is>
      </c>
      <c r="B71" s="18" t="inlineStr">
        <is>
          <t>F12</t>
        </is>
      </c>
      <c r="C71" s="19" t="inlineStr">
        <is>
          <t>6mm Inline One-Way Check Valve</t>
        </is>
      </c>
      <c r="D71" s="20" t="inlineStr">
        <is>
          <t>Actuators</t>
        </is>
      </c>
      <c r="E71" s="21" t="inlineStr">
        <is>
          <t>Diaphragm non-return valve, cracking pressure 0.01 MPa, fits 6mm tube.</t>
        </is>
      </c>
      <c r="F71" s="22" t="n">
        <v>1</v>
      </c>
      <c r="G71" s="23" t="inlineStr">
        <is>
          <t>pc</t>
        </is>
      </c>
      <c r="H71" s="24" t="n">
        <v>40</v>
      </c>
      <c r="I71" s="24" t="n">
        <v>90</v>
      </c>
      <c r="J71" s="25">
        <f>F71*H71</f>
        <v/>
      </c>
      <c r="K71" s="25">
        <f>F71*I71</f>
        <v/>
      </c>
      <c r="L71" s="25" t="n"/>
      <c r="M71" s="21" t="inlineStr">
        <is>
          <t>Shopee / Aquarium Store</t>
        </is>
      </c>
      <c r="N71" s="26" t="inlineStr">
        <is>
          <t>Inline one way check valve 6mm</t>
        </is>
      </c>
      <c r="O71" s="21" t="inlineStr">
        <is>
          <t>Prevents backflow and keeps pump head primed.</t>
        </is>
      </c>
    </row>
    <row r="72" ht="34" customHeight="1">
      <c r="A72" s="27" t="inlineStr">
        <is>
          <t>Subtotal — Category F (Actuators):</t>
        </is>
      </c>
      <c r="B72" s="28" t="n"/>
      <c r="C72" s="28" t="n"/>
      <c r="D72" s="28" t="n"/>
      <c r="E72" s="28" t="n"/>
      <c r="F72" s="28" t="n"/>
      <c r="G72" s="28" t="n"/>
      <c r="H72" s="28" t="n"/>
      <c r="I72" s="28" t="n"/>
      <c r="J72" s="29">
        <f>SUM(J60:J71)</f>
        <v/>
      </c>
      <c r="K72" s="29">
        <f>SUM(K60:K71)</f>
        <v/>
      </c>
      <c r="L72" s="29">
        <f>SUM(L60:L71)</f>
        <v/>
      </c>
      <c r="M72" s="28" t="n"/>
      <c r="N72" s="28" t="n"/>
      <c r="O72" s="28" t="n"/>
    </row>
    <row r="73" ht="34" customHeight="1">
      <c r="A73" s="7" t="inlineStr">
        <is>
          <t>📦 CATEGORY G: ENCLOSURE &amp; MOUNTING</t>
        </is>
      </c>
      <c r="B73" s="8" t="n"/>
      <c r="C73" s="8" t="n"/>
      <c r="D73" s="8" t="n"/>
      <c r="E73" s="8" t="n"/>
      <c r="F73" s="8" t="n"/>
      <c r="G73" s="8" t="n"/>
      <c r="H73" s="8" t="n"/>
      <c r="I73" s="8" t="n"/>
      <c r="J73" s="8" t="n"/>
      <c r="K73" s="8" t="n"/>
      <c r="L73" s="8" t="n"/>
      <c r="M73" s="8" t="n"/>
      <c r="N73" s="8" t="n"/>
      <c r="O73" s="8" t="n"/>
    </row>
    <row r="74" ht="44" customHeight="1">
      <c r="A74" s="9" t="inlineStr">
        <is>
          <t>To Buy</t>
        </is>
      </c>
      <c r="B74" s="9" t="inlineStr">
        <is>
          <t>G1</t>
        </is>
      </c>
      <c r="C74" s="10" t="inlineStr">
        <is>
          <t>IP65 ABS Waterproof Enclosure (255×200×80mm)</t>
        </is>
      </c>
      <c r="D74" s="11" t="inlineStr">
        <is>
          <t>Enclosure &amp; Mounting</t>
        </is>
      </c>
      <c r="E74" s="12" t="inlineStr">
        <is>
          <t>Weatherproof ABS box with rubber silicone sealing gasket &amp; brass inserts.</t>
        </is>
      </c>
      <c r="F74" s="13" t="n">
        <v>1</v>
      </c>
      <c r="G74" s="14" t="inlineStr">
        <is>
          <t>pc</t>
        </is>
      </c>
      <c r="H74" s="15" t="n">
        <v>300</v>
      </c>
      <c r="I74" s="15" t="n">
        <v>500</v>
      </c>
      <c r="J74" s="16">
        <f>F74*H74</f>
        <v/>
      </c>
      <c r="K74" s="16">
        <f>F74*I74</f>
        <v/>
      </c>
      <c r="L74" s="16" t="n"/>
      <c r="M74" s="12" t="inlineStr">
        <is>
          <t>Shopee / Lazada / Hardware</t>
        </is>
      </c>
      <c r="N74" s="17" t="inlineStr">
        <is>
          <t>IP65 waterproof junction box ABS 255x200x80</t>
        </is>
      </c>
      <c r="O74" s="12" t="inlineStr">
        <is>
          <t>Houses ESP32, PSU, relays, and terminal blocks safely.</t>
        </is>
      </c>
    </row>
    <row r="75" ht="44" customHeight="1">
      <c r="A75" s="18" t="inlineStr">
        <is>
          <t>To Buy</t>
        </is>
      </c>
      <c r="B75" s="18" t="inlineStr">
        <is>
          <t>G2</t>
        </is>
      </c>
      <c r="C75" s="19" t="inlineStr">
        <is>
          <t>35mm DIN Rail (15cm) + Mounting Clips</t>
        </is>
      </c>
      <c r="D75" s="20" t="inlineStr">
        <is>
          <t>Enclosure &amp; Mounting</t>
        </is>
      </c>
      <c r="E75" s="21" t="inlineStr">
        <is>
          <t>Standard slotted steel DIN rail 35mm + modular mounting clips &amp; brackets.</t>
        </is>
      </c>
      <c r="F75" s="22" t="n">
        <v>1</v>
      </c>
      <c r="G75" s="23" t="inlineStr">
        <is>
          <t>set</t>
        </is>
      </c>
      <c r="H75" s="24" t="n">
        <v>60</v>
      </c>
      <c r="I75" s="24" t="n">
        <v>120</v>
      </c>
      <c r="J75" s="25">
        <f>F75*H75</f>
        <v/>
      </c>
      <c r="K75" s="25">
        <f>F75*I75</f>
        <v/>
      </c>
      <c r="L75" s="25" t="n"/>
      <c r="M75" s="21" t="inlineStr">
        <is>
          <t>Shopee / Lazada</t>
        </is>
      </c>
      <c r="N75" s="26" t="inlineStr">
        <is>
          <t>DIN rail 35mm 15cm with mounting brackets</t>
        </is>
      </c>
      <c r="O75" s="21" t="inlineStr">
        <is>
          <t>Clean industrial mounting for terminal blocks and PSU.</t>
        </is>
      </c>
    </row>
    <row r="76" ht="44" customHeight="1">
      <c r="A76" s="9" t="inlineStr">
        <is>
          <t>To Buy</t>
        </is>
      </c>
      <c r="B76" s="9" t="inlineStr">
        <is>
          <t>G3</t>
        </is>
      </c>
      <c r="C76" s="10" t="inlineStr">
        <is>
          <t>M3 Nylon PCB Standoffs / Spacers Kit</t>
        </is>
      </c>
      <c r="D76" s="11" t="inlineStr">
        <is>
          <t>Enclosure &amp; Mounting</t>
        </is>
      </c>
      <c r="E76" s="12" t="inlineStr">
        <is>
          <t>Assorted M3 nylon threaded pillars (6-20mm), nuts, and screws.</t>
        </is>
      </c>
      <c r="F76" s="13" t="n">
        <v>1</v>
      </c>
      <c r="G76" s="14" t="inlineStr">
        <is>
          <t>set</t>
        </is>
      </c>
      <c r="H76" s="15" t="n">
        <v>30</v>
      </c>
      <c r="I76" s="15" t="n">
        <v>50</v>
      </c>
      <c r="J76" s="16">
        <f>F76*H76</f>
        <v/>
      </c>
      <c r="K76" s="16">
        <f>F76*I76</f>
        <v/>
      </c>
      <c r="L76" s="16" t="n"/>
      <c r="M76" s="12" t="inlineStr">
        <is>
          <t>Shopee / Electronics Store</t>
        </is>
      </c>
      <c r="N76" s="17" t="inlineStr">
        <is>
          <t>M3 nylon hex standoff assortment kit</t>
        </is>
      </c>
      <c r="O76" s="12" t="inlineStr">
        <is>
          <t>Mounts ESP32 board and perfboards elevated off base.</t>
        </is>
      </c>
    </row>
    <row r="77" ht="44" customHeight="1">
      <c r="A77" s="18" t="inlineStr">
        <is>
          <t>To Buy</t>
        </is>
      </c>
      <c r="B77" s="18" t="inlineStr">
        <is>
          <t>G4</t>
        </is>
      </c>
      <c r="C77" s="19" t="inlineStr">
        <is>
          <t>Wall-Mount Brackets + Screws (Stainless)</t>
        </is>
      </c>
      <c r="D77" s="20" t="inlineStr">
        <is>
          <t>Enclosure &amp; Mounting</t>
        </is>
      </c>
      <c r="E77" s="21" t="inlineStr">
        <is>
          <t>304 stainless steel L-brackets with masonry wall plugs &amp; screws.</t>
        </is>
      </c>
      <c r="F77" s="22" t="n">
        <v>1</v>
      </c>
      <c r="G77" s="23" t="inlineStr">
        <is>
          <t>set</t>
        </is>
      </c>
      <c r="H77" s="24" t="n">
        <v>30</v>
      </c>
      <c r="I77" s="24" t="n">
        <v>60</v>
      </c>
      <c r="J77" s="25">
        <f>F77*H77</f>
        <v/>
      </c>
      <c r="K77" s="25">
        <f>F77*I77</f>
        <v/>
      </c>
      <c r="L77" s="25" t="n"/>
      <c r="M77" s="21" t="inlineStr">
        <is>
          <t>Hardware Store</t>
        </is>
      </c>
      <c r="N77" s="26" t="inlineStr">
        <is>
          <t>Stainless steel mounting bracket with screws</t>
        </is>
      </c>
      <c r="O77" s="21" t="inlineStr">
        <is>
          <t>Secures controller cabinet firmly to mushroom house wall.</t>
        </is>
      </c>
    </row>
    <row r="78" ht="44" customHeight="1">
      <c r="A78" s="9" t="inlineStr">
        <is>
          <t>To Buy</t>
        </is>
      </c>
      <c r="B78" s="9" t="inlineStr">
        <is>
          <t>G5</t>
        </is>
      </c>
      <c r="C78" s="10" t="inlineStr">
        <is>
          <t>Rubber Wiring Grommets Assortment</t>
        </is>
      </c>
      <c r="D78" s="11" t="inlineStr">
        <is>
          <t>Enclosure &amp; Mounting</t>
        </is>
      </c>
      <c r="E78" s="12" t="inlineStr">
        <is>
          <t>Weatherproof nitrile rubber grommets (10mm to 25mm).</t>
        </is>
      </c>
      <c r="F78" s="13" t="n">
        <v>1</v>
      </c>
      <c r="G78" s="14" t="inlineStr">
        <is>
          <t>pack</t>
        </is>
      </c>
      <c r="H78" s="15" t="n">
        <v>30</v>
      </c>
      <c r="I78" s="15" t="n">
        <v>50</v>
      </c>
      <c r="J78" s="16">
        <f>F78*H78</f>
        <v/>
      </c>
      <c r="K78" s="16">
        <f>F78*I78</f>
        <v/>
      </c>
      <c r="L78" s="16" t="n"/>
      <c r="M78" s="12" t="inlineStr">
        <is>
          <t>Shopee / Hardware Store</t>
        </is>
      </c>
      <c r="N78" s="17" t="inlineStr">
        <is>
          <t>Rubber grommets assortment kit</t>
        </is>
      </c>
      <c r="O78" s="12" t="inlineStr">
        <is>
          <t>Protects wiring where cables pass through drilled holes.</t>
        </is>
      </c>
    </row>
    <row r="79" ht="34" customHeight="1">
      <c r="A79" s="27" t="inlineStr">
        <is>
          <t>Subtotal — Category G (Enclosure &amp; Mounting):</t>
        </is>
      </c>
      <c r="B79" s="28" t="n"/>
      <c r="C79" s="28" t="n"/>
      <c r="D79" s="28" t="n"/>
      <c r="E79" s="28" t="n"/>
      <c r="F79" s="28" t="n"/>
      <c r="G79" s="28" t="n"/>
      <c r="H79" s="28" t="n"/>
      <c r="I79" s="28" t="n"/>
      <c r="J79" s="29">
        <f>SUM(J74:J78)</f>
        <v/>
      </c>
      <c r="K79" s="29">
        <f>SUM(K74:K78)</f>
        <v/>
      </c>
      <c r="L79" s="29">
        <f>SUM(L74:L78)</f>
        <v/>
      </c>
      <c r="M79" s="28" t="n"/>
      <c r="N79" s="28" t="n"/>
      <c r="O79" s="28" t="n"/>
    </row>
    <row r="80" ht="34" customHeight="1">
      <c r="A80" s="7" t="inlineStr">
        <is>
          <t>🔧 CATEGORY H: MISCELLANEOUS, TOOLS &amp; FABRICATION CONSUMABLES</t>
        </is>
      </c>
      <c r="B80" s="8" t="n"/>
      <c r="C80" s="8" t="n"/>
      <c r="D80" s="8" t="n"/>
      <c r="E80" s="8" t="n"/>
      <c r="F80" s="8" t="n"/>
      <c r="G80" s="8" t="n"/>
      <c r="H80" s="8" t="n"/>
      <c r="I80" s="8" t="n"/>
      <c r="J80" s="8" t="n"/>
      <c r="K80" s="8" t="n"/>
      <c r="L80" s="8" t="n"/>
      <c r="M80" s="8" t="n"/>
      <c r="N80" s="8" t="n"/>
      <c r="O80" s="8" t="n"/>
    </row>
    <row r="81" ht="44" customHeight="1">
      <c r="A81" s="9" t="inlineStr">
        <is>
          <t>To Buy</t>
        </is>
      </c>
      <c r="B81" s="9" t="inlineStr">
        <is>
          <t>H1</t>
        </is>
      </c>
      <c r="C81" s="10" t="inlineStr">
        <is>
          <t>USB-C Data &amp; Sync Cable (1.0m, Fast Sync)</t>
        </is>
      </c>
      <c r="D81" s="11" t="inlineStr">
        <is>
          <t>Miscellaneous, Tools &amp; Fabrication Consumables</t>
        </is>
      </c>
      <c r="E81" s="12" t="inlineStr">
        <is>
          <t>28/24 AWG shielded copper cable supporting high-speed serial data (not charge-only).</t>
        </is>
      </c>
      <c r="F81" s="13" t="n">
        <v>1</v>
      </c>
      <c r="G81" s="14" t="inlineStr">
        <is>
          <t>pc</t>
        </is>
      </c>
      <c r="H81" s="15" t="n">
        <v>50</v>
      </c>
      <c r="I81" s="15" t="n">
        <v>100</v>
      </c>
      <c r="J81" s="16">
        <f>F81*H81</f>
        <v/>
      </c>
      <c r="K81" s="16">
        <f>F81*I81</f>
        <v/>
      </c>
      <c r="L81" s="16" t="n"/>
      <c r="M81" s="12" t="inlineStr">
        <is>
          <t>Shopee / Phone Accessories Store</t>
        </is>
      </c>
      <c r="N81" s="17" t="inlineStr">
        <is>
          <t>USB-C data cable 1m high speed</t>
        </is>
      </c>
      <c r="O81" s="12" t="inlineStr">
        <is>
          <t>Required for flashing firmware and Serial Monitor logs.</t>
        </is>
      </c>
    </row>
    <row r="82" ht="44" customHeight="1">
      <c r="A82" s="18" t="inlineStr">
        <is>
          <t>To Buy</t>
        </is>
      </c>
      <c r="B82" s="18" t="inlineStr">
        <is>
          <t>H2</t>
        </is>
      </c>
      <c r="C82" s="19" t="inlineStr">
        <is>
          <t>4–20mm Titanium HSS Step Drill Bit</t>
        </is>
      </c>
      <c r="D82" s="20" t="inlineStr">
        <is>
          <t>Miscellaneous, Tools &amp; Fabrication Consumables</t>
        </is>
      </c>
      <c r="E82" s="21" t="inlineStr">
        <is>
          <t>High-speed steel conical step bit with 9 increment steps (4-20mm).</t>
        </is>
      </c>
      <c r="F82" s="22" t="n">
        <v>1</v>
      </c>
      <c r="G82" s="23" t="inlineStr">
        <is>
          <t>pc</t>
        </is>
      </c>
      <c r="H82" s="24" t="n">
        <v>100</v>
      </c>
      <c r="I82" s="24" t="n">
        <v>200</v>
      </c>
      <c r="J82" s="25">
        <f>F82*H82</f>
        <v/>
      </c>
      <c r="K82" s="25">
        <f>F82*I82</f>
        <v/>
      </c>
      <c r="L82" s="25" t="n"/>
      <c r="M82" s="21" t="inlineStr">
        <is>
          <t>Shopee / Hardware Store</t>
        </is>
      </c>
      <c r="N82" s="26" t="inlineStr">
        <is>
          <t>Step drill bit 4-20mm titanium HSS</t>
        </is>
      </c>
      <c r="O82" s="21" t="inlineStr">
        <is>
          <t>Cuts clean 16mm holes for GX16 sockets, glands &amp; switches.</t>
        </is>
      </c>
    </row>
    <row r="83" ht="44" customHeight="1">
      <c r="A83" s="9" t="inlineStr">
        <is>
          <t>To Buy</t>
        </is>
      </c>
      <c r="B83" s="9" t="inlineStr">
        <is>
          <t>H3</t>
        </is>
      </c>
      <c r="C83" s="10" t="inlineStr">
        <is>
          <t>Electrical Tape (3M Scotch or equivalent)</t>
        </is>
      </c>
      <c r="D83" s="11" t="inlineStr">
        <is>
          <t>Miscellaneous, Tools &amp; Fabrication Consumables</t>
        </is>
      </c>
      <c r="E83" s="12" t="inlineStr">
        <is>
          <t>Heavy-duty vinyl electrical insulating tape, flame retardant.</t>
        </is>
      </c>
      <c r="F83" s="13" t="n">
        <v>2</v>
      </c>
      <c r="G83" s="14" t="inlineStr">
        <is>
          <t>rolls</t>
        </is>
      </c>
      <c r="H83" s="15" t="n">
        <v>25</v>
      </c>
      <c r="I83" s="15" t="n">
        <v>40</v>
      </c>
      <c r="J83" s="16">
        <f>F83*H83</f>
        <v/>
      </c>
      <c r="K83" s="16">
        <f>F83*I83</f>
        <v/>
      </c>
      <c r="L83" s="16" t="n"/>
      <c r="M83" s="12" t="inlineStr">
        <is>
          <t>Any Hardware Store</t>
        </is>
      </c>
      <c r="N83" s="17" t="inlineStr">
        <is>
          <t>3M electrical tape original black</t>
        </is>
      </c>
      <c r="O83" s="12" t="inlineStr">
        <is>
          <t>General wire insulation, color identification, and bundling.</t>
        </is>
      </c>
    </row>
    <row r="84" ht="44" customHeight="1">
      <c r="A84" s="18" t="inlineStr">
        <is>
          <t>To Buy</t>
        </is>
      </c>
      <c r="B84" s="18" t="inlineStr">
        <is>
          <t>H4</t>
        </is>
      </c>
      <c r="C84" s="19" t="inlineStr">
        <is>
          <t>3M VHB Double-Sided Foam Tape (12mm × 3m)</t>
        </is>
      </c>
      <c r="D84" s="20" t="inlineStr">
        <is>
          <t>Miscellaneous, Tools &amp; Fabrication Consumables</t>
        </is>
      </c>
      <c r="E84" s="21" t="inlineStr">
        <is>
          <t>High-strength acrylic foam bonding tape, extreme moisture resistance.</t>
        </is>
      </c>
      <c r="F84" s="22" t="n">
        <v>1</v>
      </c>
      <c r="G84" s="23" t="inlineStr">
        <is>
          <t>roll</t>
        </is>
      </c>
      <c r="H84" s="24" t="n">
        <v>40</v>
      </c>
      <c r="I84" s="24" t="n">
        <v>80</v>
      </c>
      <c r="J84" s="25">
        <f>F84*H84</f>
        <v/>
      </c>
      <c r="K84" s="25">
        <f>F84*I84</f>
        <v/>
      </c>
      <c r="L84" s="25" t="n"/>
      <c r="M84" s="21" t="inlineStr">
        <is>
          <t>Shopee / Hardware Store</t>
        </is>
      </c>
      <c r="N84" s="26" t="inlineStr">
        <is>
          <t>3M VHB double sided tape heavy duty</t>
        </is>
      </c>
      <c r="O84" s="21" t="inlineStr">
        <is>
          <t>Mounts OLED display and indicator bezels to cabinet face.</t>
        </is>
      </c>
    </row>
    <row r="85" ht="44" customHeight="1">
      <c r="A85" s="9" t="inlineStr">
        <is>
          <t>To Buy</t>
        </is>
      </c>
      <c r="B85" s="9" t="inlineStr">
        <is>
          <t>H5</t>
        </is>
      </c>
      <c r="C85" s="10" t="inlineStr">
        <is>
          <t>Clear Weatherproof Silicone Sealant (100ml)</t>
        </is>
      </c>
      <c r="D85" s="11" t="inlineStr">
        <is>
          <t>Miscellaneous, Tools &amp; Fabrication Consumables</t>
        </is>
      </c>
      <c r="E85" s="12" t="inlineStr">
        <is>
          <t>100% RTV silicone sealant, mold-resistant, flexible waterproof seal.</t>
        </is>
      </c>
      <c r="F85" s="13" t="n">
        <v>1</v>
      </c>
      <c r="G85" s="14" t="inlineStr">
        <is>
          <t>tube</t>
        </is>
      </c>
      <c r="H85" s="15" t="n">
        <v>80</v>
      </c>
      <c r="I85" s="15" t="n">
        <v>120</v>
      </c>
      <c r="J85" s="16">
        <f>F85*H85</f>
        <v/>
      </c>
      <c r="K85" s="16">
        <f>F85*I85</f>
        <v/>
      </c>
      <c r="L85" s="16" t="n"/>
      <c r="M85" s="12" t="inlineStr">
        <is>
          <t>Any Hardware Store</t>
        </is>
      </c>
      <c r="N85" s="17" t="inlineStr">
        <is>
          <t>Clear silicone sealant RTV waterproof</t>
        </is>
      </c>
      <c r="O85" s="12" t="inlineStr">
        <is>
          <t>Seals perimeter of all cutouts to keep enclosure IP65.</t>
        </is>
      </c>
    </row>
    <row r="86" ht="44" customHeight="1">
      <c r="A86" s="18" t="inlineStr">
        <is>
          <t>To Buy</t>
        </is>
      </c>
      <c r="B86" s="18" t="inlineStr">
        <is>
          <t>H6</t>
        </is>
      </c>
      <c r="C86" s="19" t="inlineStr">
        <is>
          <t>Printable Weatherproof Vinyl Label Sheets</t>
        </is>
      </c>
      <c r="D86" s="20" t="inlineStr">
        <is>
          <t>Miscellaneous, Tools &amp; Fabrication Consumables</t>
        </is>
      </c>
      <c r="E86" s="21" t="inlineStr">
        <is>
          <t>Waterproof adhesive vinyl sticker paper for labeling ports &amp; switches.</t>
        </is>
      </c>
      <c r="F86" s="22" t="n">
        <v>1</v>
      </c>
      <c r="G86" s="23" t="inlineStr">
        <is>
          <t>set</t>
        </is>
      </c>
      <c r="H86" s="24" t="n">
        <v>30</v>
      </c>
      <c r="I86" s="24" t="n">
        <v>50</v>
      </c>
      <c r="J86" s="25">
        <f>F86*H86</f>
        <v/>
      </c>
      <c r="K86" s="25">
        <f>F86*I86</f>
        <v/>
      </c>
      <c r="L86" s="25" t="n"/>
      <c r="M86" s="21" t="inlineStr">
        <is>
          <t>Shopee / Print Shop</t>
        </is>
      </c>
      <c r="N86" s="26" t="inlineStr">
        <is>
          <t>Waterproof label sticker paper A4 vinyl</t>
        </is>
      </c>
      <c r="O86" s="21" t="inlineStr">
        <is>
          <t>Clear labeling: [MAINS], [EXHAUST], [MISTER], [LIGHT], [PROBE].</t>
        </is>
      </c>
    </row>
    <row r="87" ht="44" customHeight="1">
      <c r="A87" s="9" t="inlineStr">
        <is>
          <t>To Buy</t>
        </is>
      </c>
      <c r="B87" s="9" t="inlineStr">
        <is>
          <t>H7</t>
        </is>
      </c>
      <c r="C87" s="10" t="inlineStr">
        <is>
          <t>40W Soldering Iron with Stand &amp; Sponge</t>
        </is>
      </c>
      <c r="D87" s="11" t="inlineStr">
        <is>
          <t>Miscellaneous, Tools &amp; Fabrication Consumables</t>
        </is>
      </c>
      <c r="E87" s="12" t="inlineStr">
        <is>
          <t>220V 40W pencil iron with fine tip, wire stand &amp; cleaning sponge.</t>
        </is>
      </c>
      <c r="F87" s="13" t="n">
        <v>1</v>
      </c>
      <c r="G87" s="14" t="inlineStr">
        <is>
          <t>pc</t>
        </is>
      </c>
      <c r="H87" s="15" t="n">
        <v>0</v>
      </c>
      <c r="I87" s="15" t="n">
        <v>350</v>
      </c>
      <c r="J87" s="16">
        <f>F87*H87</f>
        <v/>
      </c>
      <c r="K87" s="16">
        <f>F87*I87</f>
        <v/>
      </c>
      <c r="L87" s="16" t="n"/>
      <c r="M87" s="12" t="inlineStr">
        <is>
          <t>Shopee / Hardware Store (0 if owned)</t>
        </is>
      </c>
      <c r="N87" s="17" t="inlineStr">
        <is>
          <t>Soldering iron 40W with stand</t>
        </is>
      </c>
      <c r="O87" s="12" t="inlineStr">
        <is>
          <t>Essential for perfboard, diodes, and GX16 connectors.</t>
        </is>
      </c>
    </row>
    <row r="88" ht="34" customHeight="1">
      <c r="A88" s="27" t="inlineStr">
        <is>
          <t>Subtotal — Category H (Miscellaneous, Tools &amp; Fabrication Consumables):</t>
        </is>
      </c>
      <c r="B88" s="28" t="n"/>
      <c r="C88" s="28" t="n"/>
      <c r="D88" s="28" t="n"/>
      <c r="E88" s="28" t="n"/>
      <c r="F88" s="28" t="n"/>
      <c r="G88" s="28" t="n"/>
      <c r="H88" s="28" t="n"/>
      <c r="I88" s="28" t="n"/>
      <c r="J88" s="29">
        <f>SUM(J81:J87)</f>
        <v/>
      </c>
      <c r="K88" s="29">
        <f>SUM(K81:K87)</f>
        <v/>
      </c>
      <c r="L88" s="29">
        <f>SUM(L81:L87)</f>
        <v/>
      </c>
      <c r="M88" s="28" t="n"/>
      <c r="N88" s="28" t="n"/>
      <c r="O88" s="28" t="n"/>
    </row>
    <row r="89" ht="16" customHeight="1"/>
    <row r="90" ht="40" customHeight="1">
      <c r="A90" s="30" t="inlineStr">
        <is>
          <t>★ GRAND TOTAL (ALL 68 COMPONENTS):</t>
        </is>
      </c>
      <c r="B90" s="31" t="n"/>
      <c r="C90" s="31" t="n"/>
      <c r="D90" s="31" t="n"/>
      <c r="E90" s="31" t="n"/>
      <c r="F90" s="31" t="n"/>
      <c r="G90" s="31" t="n"/>
      <c r="H90" s="31" t="n"/>
      <c r="I90" s="31" t="n"/>
      <c r="J90" s="32">
        <f>J13+J23+J37+J46+J58+J72+J79+J88</f>
        <v/>
      </c>
      <c r="K90" s="32">
        <f>K13+K23+K37+K46+K58+K72+K79+K88</f>
        <v/>
      </c>
      <c r="L90" s="32">
        <f>L13+L23+L37+L46+L58+L72+L79+L88</f>
        <v/>
      </c>
      <c r="M90" s="31" t="n"/>
      <c r="N90" s="31" t="n"/>
      <c r="O90" s="31" t="n"/>
    </row>
  </sheetData>
  <mergeCells count="20">
    <mergeCell ref="A90:I90"/>
    <mergeCell ref="A37:I37"/>
    <mergeCell ref="A46:I46"/>
    <mergeCell ref="A80:O80"/>
    <mergeCell ref="A3:O3"/>
    <mergeCell ref="A2:O2"/>
    <mergeCell ref="A14:O14"/>
    <mergeCell ref="A47:O47"/>
    <mergeCell ref="A5:O5"/>
    <mergeCell ref="A23:I23"/>
    <mergeCell ref="A72:I72"/>
    <mergeCell ref="A38:O38"/>
    <mergeCell ref="A13:I13"/>
    <mergeCell ref="A58:I58"/>
    <mergeCell ref="A59:O59"/>
    <mergeCell ref="A24:O24"/>
    <mergeCell ref="A73:O73"/>
    <mergeCell ref="A88:I88"/>
    <mergeCell ref="A1:O1"/>
    <mergeCell ref="A79:I79"/>
  </mergeCells>
  <dataValidations count="1">
    <dataValidation sqref="A6 A7 A8 A9 A10 A11 A12 A15 A16 A17 A18 A19 A20 A21 A22 A25 A26 A27 A28 A29 A30 A31 A32 A33 A34 A35 A36 A39 A40 A41 A42 A43 A44 A45 A48 A49 A50 A51 A52 A53 A54 A55 A56 A57 A60 A61 A62 A63 A64 A65 A66 A67 A68 A69 A70 A71 A74 A75 A76 A77 A78 A81 A82 A83 A84 A85 A86 A87" showDropDown="0" showInputMessage="0" showErrorMessage="0" allowBlank="1" errorTitle="Invalid Status" error="Please select a valid status from the list" promptTitle="Status" prompt="Select procurement status" type="list">
      <formula1>"To Buy,Ordered,Received,In Stock,Not Needed"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16" customWidth="1" min="1" max="1"/>
    <col width="48" customWidth="1" min="2" max="2"/>
    <col width="16" customWidth="1" min="3" max="3"/>
    <col width="20" customWidth="1" min="4" max="4"/>
    <col width="20" customWidth="1" min="5" max="5"/>
    <col width="20" customWidth="1" min="6" max="6"/>
    <col width="20" customWidth="1" min="7" max="7"/>
  </cols>
  <sheetData>
    <row r="1" ht="48" customHeight="1">
      <c r="A1" s="1" t="inlineStr">
        <is>
          <t>🍄 KABUTECH HIYAS — EXECUTIVE BUDGET &amp; PROCUREMENT DASHBOARD</t>
        </is>
      </c>
    </row>
    <row r="2" ht="28" customHeight="1">
      <c r="A2" s="2" t="inlineStr">
        <is>
          <t>Live Project Financial Overview, Category Allocations &amp; Status Tracking</t>
        </is>
      </c>
    </row>
    <row r="4" ht="26" customHeight="1">
      <c r="A4" s="33" t="inlineStr">
        <is>
          <t>TOTAL ALLOCATED BUDGET</t>
        </is>
      </c>
      <c r="B4" s="34" t="n"/>
      <c r="C4" s="33" t="inlineStr">
        <is>
          <t>EST. MIN TOTAL</t>
        </is>
      </c>
      <c r="D4" s="33" t="inlineStr">
        <is>
          <t>EST. MAX TOTAL</t>
        </is>
      </c>
      <c r="E4" s="33" t="inlineStr">
        <is>
          <t>ACTUAL SPENT</t>
        </is>
      </c>
      <c r="F4" s="35" t="inlineStr">
        <is>
          <t>BUDGET REMAINING</t>
        </is>
      </c>
      <c r="G4" s="33" t="inlineStr">
        <is>
          <t>TOTAL ITEMS</t>
        </is>
      </c>
    </row>
    <row r="5" ht="44" customHeight="1">
      <c r="A5" s="36" t="n">
        <v>15000</v>
      </c>
      <c r="B5" s="34" t="n"/>
      <c r="C5" s="36">
        <f>'📋 Materials Checklist'!J90</f>
        <v/>
      </c>
      <c r="D5" s="36">
        <f>'📋 Materials Checklist'!K90</f>
        <v/>
      </c>
      <c r="E5" s="36">
        <f>'📋 Materials Checklist'!L90</f>
        <v/>
      </c>
      <c r="F5" s="37">
        <f>A5-E5</f>
        <v/>
      </c>
      <c r="G5" s="38" t="n">
        <v>68</v>
      </c>
    </row>
    <row r="6" ht="26" customHeight="1">
      <c r="A6" s="39" t="inlineStr">
        <is>
          <t>Fixed Project Ceiling</t>
        </is>
      </c>
      <c r="B6" s="34" t="n"/>
      <c r="C6" s="39" t="inlineStr">
        <is>
          <t>Smart Shopee / Lazada</t>
        </is>
      </c>
      <c r="D6" s="39" t="inlineStr">
        <is>
          <t>Worst-case retail buffer</t>
        </is>
      </c>
      <c r="E6" s="39" t="inlineStr">
        <is>
          <t>Tracked from purchases</t>
        </is>
      </c>
      <c r="F6" s="40" t="inlineStr">
        <is>
          <t>Surplus / Buffer</t>
        </is>
      </c>
      <c r="G6" s="39" t="inlineStr">
        <is>
          <t>Across 8 Categories</t>
        </is>
      </c>
    </row>
    <row r="8" ht="34" customHeight="1">
      <c r="A8" s="41" t="inlineStr">
        <is>
          <t>📊 CATEGORY BUDGET BREAKDOWN &amp; SPENDING SUMMARY</t>
        </is>
      </c>
    </row>
    <row r="9" ht="34" customHeight="1">
      <c r="A9" s="4" t="inlineStr">
        <is>
          <t>Cat Code</t>
        </is>
      </c>
      <c r="B9" s="5" t="inlineStr">
        <is>
          <t>Category Description</t>
        </is>
      </c>
      <c r="C9" s="4" t="inlineStr">
        <is>
          <t>Items Count</t>
        </is>
      </c>
      <c r="D9" s="6" t="inlineStr">
        <is>
          <t>Est. Min (₱)</t>
        </is>
      </c>
      <c r="E9" s="6" t="inlineStr">
        <is>
          <t>Est. Max (₱)</t>
        </is>
      </c>
      <c r="F9" s="6" t="inlineStr">
        <is>
          <t>Actual Spent (₱)</t>
        </is>
      </c>
      <c r="G9" s="6" t="inlineStr">
        <is>
          <t>% of Budget (Max)</t>
        </is>
      </c>
    </row>
    <row r="10" ht="30" customHeight="1">
      <c r="A10" s="9" t="inlineStr">
        <is>
          <t>Category A</t>
        </is>
      </c>
      <c r="B10" s="42" t="inlineStr">
        <is>
          <t>Sensors &amp; Probe Electronics (Quality-Grade)</t>
        </is>
      </c>
      <c r="C10" s="13" t="n">
        <v>7</v>
      </c>
      <c r="D10" s="15">
        <f>'📋 Materials Checklist'!J13</f>
        <v/>
      </c>
      <c r="E10" s="15">
        <f>'📋 Materials Checklist'!K13</f>
        <v/>
      </c>
      <c r="F10" s="16">
        <f>'📋 Materials Checklist'!L13</f>
        <v/>
      </c>
      <c r="G10" s="43">
        <f>E10/$A$5</f>
        <v/>
      </c>
    </row>
    <row r="11" ht="30" customHeight="1">
      <c r="A11" s="18" t="inlineStr">
        <is>
          <t>Category B</t>
        </is>
      </c>
      <c r="B11" s="44" t="inlineStr">
        <is>
          <t>Hanging Sensor Probe Housing (PVC Bell Reducer Design)</t>
        </is>
      </c>
      <c r="C11" s="22" t="n">
        <v>8</v>
      </c>
      <c r="D11" s="24">
        <f>'📋 Materials Checklist'!J23</f>
        <v/>
      </c>
      <c r="E11" s="24">
        <f>'📋 Materials Checklist'!K23</f>
        <v/>
      </c>
      <c r="F11" s="25">
        <f>'📋 Materials Checklist'!L23</f>
        <v/>
      </c>
      <c r="G11" s="45">
        <f>E11/$A$5</f>
        <v/>
      </c>
    </row>
    <row r="12" ht="30" customHeight="1">
      <c r="A12" s="9" t="inlineStr">
        <is>
          <t>Category C</t>
        </is>
      </c>
      <c r="B12" s="42" t="inlineStr">
        <is>
          <t>Controller Board &amp; Core Electronics</t>
        </is>
      </c>
      <c r="C12" s="13" t="n">
        <v>12</v>
      </c>
      <c r="D12" s="15">
        <f>'📋 Materials Checklist'!J37</f>
        <v/>
      </c>
      <c r="E12" s="15">
        <f>'📋 Materials Checklist'!K37</f>
        <v/>
      </c>
      <c r="F12" s="16">
        <f>'📋 Materials Checklist'!L37</f>
        <v/>
      </c>
      <c r="G12" s="43">
        <f>E12/$A$5</f>
        <v/>
      </c>
    </row>
    <row r="13" ht="30" customHeight="1">
      <c r="A13" s="18" t="inlineStr">
        <is>
          <t>Category D</t>
        </is>
      </c>
      <c r="B13" s="44" t="inlineStr">
        <is>
          <t>Power Supply &amp; Distribution</t>
        </is>
      </c>
      <c r="C13" s="22" t="n">
        <v>7</v>
      </c>
      <c r="D13" s="24">
        <f>'📋 Materials Checklist'!J46</f>
        <v/>
      </c>
      <c r="E13" s="24">
        <f>'📋 Materials Checklist'!K46</f>
        <v/>
      </c>
      <c r="F13" s="25">
        <f>'📋 Materials Checklist'!L46</f>
        <v/>
      </c>
      <c r="G13" s="45">
        <f>E13/$A$5</f>
        <v/>
      </c>
    </row>
    <row r="14" ht="30" customHeight="1">
      <c r="A14" s="9" t="inlineStr">
        <is>
          <t>Category E</t>
        </is>
      </c>
      <c r="B14" s="42" t="inlineStr">
        <is>
          <t>Connectors &amp; Wiring</t>
        </is>
      </c>
      <c r="C14" s="13" t="n">
        <v>10</v>
      </c>
      <c r="D14" s="15">
        <f>'📋 Materials Checklist'!J58</f>
        <v/>
      </c>
      <c r="E14" s="15">
        <f>'📋 Materials Checklist'!K58</f>
        <v/>
      </c>
      <c r="F14" s="16">
        <f>'📋 Materials Checklist'!L58</f>
        <v/>
      </c>
      <c r="G14" s="43">
        <f>E14/$A$5</f>
        <v/>
      </c>
    </row>
    <row r="15" ht="30" customHeight="1">
      <c r="A15" s="18" t="inlineStr">
        <is>
          <t>Category F</t>
        </is>
      </c>
      <c r="B15" s="44" t="inlineStr">
        <is>
          <t>Actuators (The Things Being Controlled)</t>
        </is>
      </c>
      <c r="C15" s="22" t="n">
        <v>12</v>
      </c>
      <c r="D15" s="24">
        <f>'📋 Materials Checklist'!J72</f>
        <v/>
      </c>
      <c r="E15" s="24">
        <f>'📋 Materials Checklist'!K72</f>
        <v/>
      </c>
      <c r="F15" s="25">
        <f>'📋 Materials Checklist'!L72</f>
        <v/>
      </c>
      <c r="G15" s="45">
        <f>E15/$A$5</f>
        <v/>
      </c>
    </row>
    <row r="16" ht="30" customHeight="1">
      <c r="A16" s="9" t="inlineStr">
        <is>
          <t>Category G</t>
        </is>
      </c>
      <c r="B16" s="42" t="inlineStr">
        <is>
          <t>Enclosure &amp; Mounting</t>
        </is>
      </c>
      <c r="C16" s="13" t="n">
        <v>5</v>
      </c>
      <c r="D16" s="15">
        <f>'📋 Materials Checklist'!J79</f>
        <v/>
      </c>
      <c r="E16" s="15">
        <f>'📋 Materials Checklist'!K79</f>
        <v/>
      </c>
      <c r="F16" s="16">
        <f>'📋 Materials Checklist'!L79</f>
        <v/>
      </c>
      <c r="G16" s="43">
        <f>E16/$A$5</f>
        <v/>
      </c>
    </row>
    <row r="17" ht="30" customHeight="1">
      <c r="A17" s="18" t="inlineStr">
        <is>
          <t>Category H</t>
        </is>
      </c>
      <c r="B17" s="44" t="inlineStr">
        <is>
          <t>Miscellaneous, Tools &amp; Fabrication Consumables</t>
        </is>
      </c>
      <c r="C17" s="22" t="n">
        <v>7</v>
      </c>
      <c r="D17" s="24">
        <f>'📋 Materials Checklist'!J88</f>
        <v/>
      </c>
      <c r="E17" s="24">
        <f>'📋 Materials Checklist'!K88</f>
        <v/>
      </c>
      <c r="F17" s="25">
        <f>'📋 Materials Checklist'!L88</f>
        <v/>
      </c>
      <c r="G17" s="45">
        <f>E17/$A$5</f>
        <v/>
      </c>
    </row>
    <row r="18" ht="36" customHeight="1">
      <c r="A18" s="46" t="inlineStr">
        <is>
          <t>TOTALS</t>
        </is>
      </c>
      <c r="B18" s="47" t="inlineStr">
        <is>
          <t>All 8 System Categories Combined</t>
        </is>
      </c>
      <c r="C18" s="46">
        <f>SUM(C10:C17)</f>
        <v/>
      </c>
      <c r="D18" s="48">
        <f>SUM(D10:D17)</f>
        <v/>
      </c>
      <c r="E18" s="48">
        <f>SUM(E10:E17)</f>
        <v/>
      </c>
      <c r="F18" s="48">
        <f>SUM(F10:F17)</f>
        <v/>
      </c>
      <c r="G18" s="49">
        <f>SUM(G10:G17)</f>
        <v/>
      </c>
    </row>
    <row r="20" ht="28" customHeight="1">
      <c r="A20" s="50" t="inlineStr">
        <is>
          <t>💡 BUDGET ANALYSIS &amp; KEY TAKEAWAYS:</t>
        </is>
      </c>
    </row>
    <row r="21" ht="26" customHeight="1">
      <c r="A21" s="51" t="inlineStr">
        <is>
          <t>1. Best-Case Budget Target:</t>
        </is>
      </c>
      <c r="B21" s="52" t="inlineStr">
        <is>
          <t>₱9,770 — Achievable by taking advantage of Shopee/Lazada monthly sales (e.g., Payday, 10.10, 11.11), platform vouchers, and free shipping coins.</t>
        </is>
      </c>
    </row>
    <row r="22" ht="26" customHeight="1">
      <c r="A22" s="51" t="inlineStr">
        <is>
          <t>2. Realistic Budget Target:</t>
        </is>
      </c>
      <c r="B22" s="52" t="inlineStr">
        <is>
          <t>₱12,000–₱13,500 — Leaves a healthy buffer of ₱1,500–₱3,000 within your ₱15,000 cap for unexpected spares, extra wire, or shipping fees.</t>
        </is>
      </c>
    </row>
    <row r="23" ht="26" customHeight="1">
      <c r="A23" s="51" t="inlineStr">
        <is>
          <t>3. High-End Worst-Case:</t>
        </is>
      </c>
      <c r="B23" s="52" t="inlineStr">
        <is>
          <t>₱15,550 — Even if buying every single item at peak retail with zero discounts and buying a brand new soldering iron, it sits right at your ₱15k ceiling.</t>
        </is>
      </c>
    </row>
    <row r="24" ht="26" customHeight="1">
      <c r="A24" s="51" t="inlineStr">
        <is>
          <t>4. Key Cost Driver:</t>
        </is>
      </c>
      <c r="B24" s="52" t="inlineStr">
        <is>
          <t>The SCD41 True NDIR CO₂ Sensor (₱1,800–₱2,500) represents ~18% of total expenditure. It is the single most critical investment for your thesis credibility.</t>
        </is>
      </c>
    </row>
  </sheetData>
  <mergeCells count="11">
    <mergeCell ref="A4:B4"/>
    <mergeCell ref="B24:G24"/>
    <mergeCell ref="A1:G1"/>
    <mergeCell ref="B22:G22"/>
    <mergeCell ref="A8:G8"/>
    <mergeCell ref="B23:G23"/>
    <mergeCell ref="A5:B5"/>
    <mergeCell ref="A20:G20"/>
    <mergeCell ref="A2:G2"/>
    <mergeCell ref="B21:G21"/>
    <mergeCell ref="A6: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32" customWidth="1" min="1" max="1"/>
    <col width="32" customWidth="1" min="2" max="2"/>
    <col width="50" customWidth="1" min="3" max="3"/>
    <col width="46" customWidth="1" min="4" max="4"/>
    <col width="22" customWidth="1" min="5" max="5"/>
  </cols>
  <sheetData>
    <row r="1" ht="48" customHeight="1">
      <c r="A1" s="1" t="inlineStr">
        <is>
          <t>🍄 KABUTECH HIYAS — PHILIPPINE SOURCING &amp; PROCUREMENT GUIDE</t>
        </is>
      </c>
    </row>
    <row r="2" ht="28" customHeight="1">
      <c r="A2" s="2" t="inlineStr">
        <is>
          <t>Recommended Local Vendors, Shopping Batches &amp; Quality Verification Checks</t>
        </is>
      </c>
    </row>
    <row r="4" ht="34" customHeight="1">
      <c r="A4" s="53" t="inlineStr">
        <is>
          <t>🏪 RECOMMENDED STORES IN THE PHILIPPINES</t>
        </is>
      </c>
    </row>
    <row r="5" ht="32" customHeight="1">
      <c r="A5" s="54" t="inlineStr">
        <is>
          <t>Store / Vendor</t>
        </is>
      </c>
      <c r="B5" s="54" t="inlineStr">
        <is>
          <t>Platform / Location</t>
        </is>
      </c>
      <c r="C5" s="54" t="inlineStr">
        <is>
          <t>Items to Source Here</t>
        </is>
      </c>
      <c r="D5" s="54" t="inlineStr">
        <is>
          <t>Pros / Recommendations</t>
        </is>
      </c>
      <c r="E5" s="54" t="inlineStr">
        <is>
          <t>Est. Delivery</t>
        </is>
      </c>
    </row>
    <row r="6" ht="32" customHeight="1">
      <c r="A6" s="10" t="inlineStr">
        <is>
          <t>Makerlab Electronics</t>
        </is>
      </c>
      <c r="B6" s="12" t="inlineStr">
        <is>
          <t>Shopee Mall / Lazada / QC Physical</t>
        </is>
      </c>
      <c r="C6" s="12" t="inlineStr">
        <is>
          <t>ESP32-S3, Relays, OLED, SHT31, Level Shifter, XKC-Y25</t>
        </is>
      </c>
      <c r="D6" s="12" t="inlineStr">
        <is>
          <t>Fast NCR delivery (1-2 days), tested genuine boards</t>
        </is>
      </c>
      <c r="E6" s="12" t="inlineStr">
        <is>
          <t>1–2 days</t>
        </is>
      </c>
    </row>
    <row r="7" ht="32" customHeight="1">
      <c r="A7" s="10" t="inlineStr">
        <is>
          <t>CircuitRocks Philippines</t>
        </is>
      </c>
      <c r="B7" s="12" t="inlineStr">
        <is>
          <t>Shopee / Website / Mandaluyong</t>
        </is>
      </c>
      <c r="C7" s="12" t="inlineStr">
        <is>
          <t>BH1750, SHT31-D, Prototyping PCBs, Connectors</t>
        </is>
      </c>
      <c r="D7" s="12" t="inlineStr">
        <is>
          <t>High quality verified sensors, technical support</t>
        </is>
      </c>
      <c r="E7" s="12" t="inlineStr">
        <is>
          <t>1–3 days</t>
        </is>
      </c>
    </row>
    <row r="8" ht="32" customHeight="1">
      <c r="A8" s="10" t="inlineStr">
        <is>
          <t>e-Gizmo Mechatronix</t>
        </is>
      </c>
      <c r="B8" s="12" t="inlineStr">
        <is>
          <t>Taft Ave Manila / Online Store</t>
        </is>
      </c>
      <c r="C8" s="12" t="inlineStr">
        <is>
          <t>Sensors, Relays, Breadboards, Headers, Power components</t>
        </is>
      </c>
      <c r="D8" s="12" t="inlineStr">
        <is>
          <t>Long-running local supplier, student thesis friendly</t>
        </is>
      </c>
      <c r="E8" s="12" t="inlineStr">
        <is>
          <t>1–3 days</t>
        </is>
      </c>
    </row>
    <row r="9" ht="32" customHeight="1">
      <c r="A9" s="10" t="inlineStr">
        <is>
          <t>Alexan Commercial</t>
        </is>
      </c>
      <c r="B9" s="12" t="inlineStr">
        <is>
          <t>Raon Quiapo / SM Megamall / Online</t>
        </is>
      </c>
      <c r="C9" s="12" t="inlineStr">
        <is>
          <t>12V Switching PSU, IEC C14 Inlets, Switches, Diodes, Fuses</t>
        </is>
      </c>
      <c r="D9" s="12" t="inlineStr">
        <is>
          <t>Best for industrial power supplies, enclosure accessories</t>
        </is>
      </c>
      <c r="E9" s="12" t="inlineStr">
        <is>
          <t>Same day / 2 days</t>
        </is>
      </c>
    </row>
    <row r="10" ht="32" customHeight="1">
      <c r="A10" s="10" t="inlineStr">
        <is>
          <t>Shopee Overseas (China)</t>
        </is>
      </c>
      <c r="B10" s="12" t="inlineStr">
        <is>
          <t>Shopee App (Search keyword)</t>
        </is>
      </c>
      <c r="C10" s="12" t="inlineStr">
        <is>
          <t>SCD41 NDIR CO2 Sensor, GX16 Connectors, Misting Nozzles</t>
        </is>
      </c>
      <c r="D10" s="12" t="inlineStr">
        <is>
          <t>30-50% cheaper on SCD41 and aviation plugs</t>
        </is>
      </c>
      <c r="E10" s="12" t="inlineStr">
        <is>
          <t>5–8 days</t>
        </is>
      </c>
    </row>
    <row r="11" ht="32" customHeight="1">
      <c r="A11" s="10" t="inlineStr">
        <is>
          <t>Wilcon Depot / Citi Hardware</t>
        </is>
      </c>
      <c r="B11" s="12" t="inlineStr">
        <is>
          <t>Local Physical Branches Nationwide</t>
        </is>
      </c>
      <c r="C11" s="12" t="inlineStr">
        <is>
          <t>PVC Bell Reducer, Teflon Tape, Hose Clamps, Wall Brackets</t>
        </is>
      </c>
      <c r="D11" s="12" t="inlineStr">
        <is>
          <t>Heavy-duty sanitary grade PVC fittings, inspect in-person</t>
        </is>
      </c>
      <c r="E11" s="12" t="inlineStr">
        <is>
          <t>Immediate</t>
        </is>
      </c>
    </row>
    <row r="12" ht="32" customHeight="1">
      <c r="A12" s="10" t="inlineStr">
        <is>
          <t>Ace Hardware / Handyman</t>
        </is>
      </c>
      <c r="B12" s="12" t="inlineStr">
        <is>
          <t>Malls Nationwide</t>
        </is>
      </c>
      <c r="C12" s="12" t="inlineStr">
        <is>
          <t>Electrical tape, 3M VHB tape, Silicone sealant, Zip ties</t>
        </is>
      </c>
      <c r="D12" s="12" t="inlineStr">
        <is>
          <t>Branded adhesives &amp; sealants (3M, Pioneer, Devcon)</t>
        </is>
      </c>
      <c r="E12" s="12" t="inlineStr">
        <is>
          <t>Immediate</t>
        </is>
      </c>
    </row>
    <row r="14" ht="34" customHeight="1">
      <c r="A14" s="53" t="inlineStr">
        <is>
          <t>📅 RECOMMENDED 4-PHASE ORDERING ROADMAP</t>
        </is>
      </c>
    </row>
    <row r="15" ht="32" customHeight="1">
      <c r="A15" s="54" t="inlineStr">
        <is>
          <t>Phase</t>
        </is>
      </c>
      <c r="B15" s="54" t="inlineStr">
        <is>
          <t>Target Milestone</t>
        </is>
      </c>
      <c r="C15" s="54" t="inlineStr">
        <is>
          <t>Items to Order</t>
        </is>
      </c>
      <c r="D15" s="54" t="inlineStr">
        <is>
          <t>Purpose &amp; Validation Goal</t>
        </is>
      </c>
      <c r="E15" s="54" t="inlineStr">
        <is>
          <t>Est. Spend</t>
        </is>
      </c>
    </row>
    <row r="16" ht="34" customHeight="1">
      <c r="A16" s="10" t="inlineStr">
        <is>
          <t>Phase 1</t>
        </is>
      </c>
      <c r="B16" s="12" t="inlineStr">
        <is>
          <t>Core Sensors &amp; Logic Bench Test</t>
        </is>
      </c>
      <c r="C16" s="12" t="inlineStr">
        <is>
          <t>ESP32-S3, SHT31, BH1750, SCD41, OLED, Jumpers, Breadboard</t>
        </is>
      </c>
      <c r="D16" s="12" t="inlineStr">
        <is>
          <t>Bench-test sensor polling, I2C bus scan, and Firebase telemetry transmission.</t>
        </is>
      </c>
      <c r="E16" s="10" t="inlineStr">
        <is>
          <t>₱2,800 – ₱3,600</t>
        </is>
      </c>
    </row>
    <row r="17" ht="34" customHeight="1">
      <c r="A17" s="10" t="inlineStr">
        <is>
          <t>Phase 2</t>
        </is>
      </c>
      <c r="B17" s="12" t="inlineStr">
        <is>
          <t>Power &amp; Actuator Control Bench Test</t>
        </is>
      </c>
      <c r="C17" s="12" t="inlineStr">
        <is>
          <t>12V PSU, 8-Ch Relay, Logic Shifter, Fans, Misting Pump, Solenoid Valve</t>
        </is>
      </c>
      <c r="D17" s="12" t="inlineStr">
        <is>
          <t>Validate relay switching, flyback diodes, and actuator trigger responsiveness.</t>
        </is>
      </c>
      <c r="E17" s="10" t="inlineStr">
        <is>
          <t>₱3,500 – ₱4,800</t>
        </is>
      </c>
    </row>
    <row r="18" ht="34" customHeight="1">
      <c r="A18" s="10" t="inlineStr">
        <is>
          <t>Phase 3</t>
        </is>
      </c>
      <c r="B18" s="12" t="inlineStr">
        <is>
          <t>Probe &amp; Enclosure Fabrication</t>
        </is>
      </c>
      <c r="C18" s="12" t="inlineStr">
        <is>
          <t>IP65 Box, PVC Bell Reducer, Cable Glands, GX16 Plugs, Step Drill Bit, Sealant</t>
        </is>
      </c>
      <c r="D18" s="12" t="inlineStr">
        <is>
          <t>Drill enclosure, solder aviation connectors, fabricate waterproof hanging probe.</t>
        </is>
      </c>
      <c r="E18" s="10" t="inlineStr">
        <is>
          <t>₱1,800 – ₱2,600</t>
        </is>
      </c>
    </row>
    <row r="19" ht="34" customHeight="1">
      <c r="A19" s="10" t="inlineStr">
        <is>
          <t>Phase 4</t>
        </is>
      </c>
      <c r="B19" s="12" t="inlineStr">
        <is>
          <t>Plumbing &amp; Final Deployment</t>
        </is>
      </c>
      <c r="C19" s="12" t="inlineStr">
        <is>
          <t>Misting Tubing, Brass Nozzles, Check Valve, Reservoir, Wall Brackets</t>
        </is>
      </c>
      <c r="D19" s="12" t="inlineStr">
        <is>
          <t>Assemble plumbing manifold in grow house, calibrate sensors, end-to-end PID test.</t>
        </is>
      </c>
      <c r="E19" s="10" t="inlineStr">
        <is>
          <t>₱1,200 – ₱2,000</t>
        </is>
      </c>
    </row>
    <row r="21" ht="34" customHeight="1">
      <c r="A21" s="53" t="inlineStr">
        <is>
          <t>🔍 QUALITY VERIFICATION CHECKLIST (BEFORE YOU BUY)</t>
        </is>
      </c>
    </row>
    <row r="22" ht="36" customHeight="1">
      <c r="A22" s="55" t="inlineStr">
        <is>
          <t>ESP32-S3 Flash/PSRAM</t>
        </is>
      </c>
      <c r="B22" s="12" t="inlineStr">
        <is>
          <t>Ensure listing states 'N16R8' (16MB Flash / 8MB PSRAM). Generic N4 (4MB) has insufficient memory for dual-core FreeRTOS, Firebase queue, and web stack simultaneously.</t>
        </is>
      </c>
      <c r="C22" s="56" t="n"/>
      <c r="D22" s="56" t="n"/>
      <c r="E22" s="56" t="n"/>
    </row>
    <row r="23" ht="36" customHeight="1">
      <c r="A23" s="55" t="inlineStr">
        <is>
          <t>SCD41 vs SCD30 / MQ-135</t>
        </is>
      </c>
      <c r="B23" s="12" t="inlineStr">
        <is>
          <t>Do NOT accept MQ-135 or CCS811. Only Sensirion SCD40 or SCD41 offers photoacoustic true NDIR CO2 measurement. Look for Sensirion laser-etched metal package.</t>
        </is>
      </c>
      <c r="C23" s="56" t="n"/>
      <c r="D23" s="56" t="n"/>
      <c r="E23" s="56" t="n"/>
    </row>
    <row r="24" ht="36" customHeight="1">
      <c r="A24" s="55" t="inlineStr">
        <is>
          <t>SHT31 vs DHT11 / DHT22</t>
        </is>
      </c>
      <c r="B24" s="12" t="inlineStr">
        <is>
          <t>DHT11 will fail rapidly at &gt;85% RH in a mushroom house. The Sensirion SHT31-D features an integrated heater and internal humidity polymer rated for 0-100% RH.</t>
        </is>
      </c>
      <c r="C24" s="56" t="n"/>
      <c r="D24" s="56" t="n"/>
      <c r="E24" s="56" t="n"/>
    </row>
    <row r="25" ht="36" customHeight="1">
      <c r="A25" s="55" t="inlineStr">
        <is>
          <t>Aviation Connectors (GX16)</t>
        </is>
      </c>
      <c r="B25" s="12" t="inlineStr">
        <is>
          <t>Order matching Male + Female pairs (GX16-4). 4-pin is standard: Pin 1 = 12V/VCC, Pin 2 = GND, Pin 3 = Signal/SDA, Pin 4 = SCL/Trigger.</t>
        </is>
      </c>
      <c r="C25" s="56" t="n"/>
      <c r="D25" s="56" t="n"/>
      <c r="E25" s="56" t="n"/>
    </row>
    <row r="26" ht="36" customHeight="1">
      <c r="A26" s="55" t="inlineStr">
        <is>
          <t>Power Supply Quality</t>
        </is>
      </c>
      <c r="B26" s="12" t="inlineStr">
        <is>
          <t>Verify the 12V 5A PSU has an aluminum casing with ventilation slots and a trimmer pot to fine-tune 12.0VDC. Avoid unbranded lightweight plastic wall-warts for continuous 24/7 duty.</t>
        </is>
      </c>
      <c r="C26" s="56" t="n"/>
      <c r="D26" s="56" t="n"/>
      <c r="E26" s="56" t="n"/>
    </row>
  </sheetData>
  <mergeCells count="10">
    <mergeCell ref="A21:E21"/>
    <mergeCell ref="B23:E23"/>
    <mergeCell ref="B26:E26"/>
    <mergeCell ref="A4:E4"/>
    <mergeCell ref="A2:E2"/>
    <mergeCell ref="A1:E1"/>
    <mergeCell ref="B25:E25"/>
    <mergeCell ref="B24:E24"/>
    <mergeCell ref="A14:E14"/>
    <mergeCell ref="B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2026-09-24T04:06:13Z</dcterms:created>
  <dcterms:modified xsi:type="dcterms:W3CDTF">2026-09-24T04:06:13Z</dcterms:modified>
</cp:coreProperties>
</file>